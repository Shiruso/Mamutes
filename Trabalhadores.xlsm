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X\Desktop\Cauã\Planilhas\"/>
    </mc:Choice>
  </mc:AlternateContent>
  <xr:revisionPtr revIDLastSave="0" documentId="13_ncr:1_{6A3EAA74-8725-4EB0-9120-2D6AF8A08949}" xr6:coauthVersionLast="47" xr6:coauthVersionMax="47" xr10:uidLastSave="{00000000-0000-0000-0000-000000000000}"/>
  <bookViews>
    <workbookView showHorizontalScroll="0" showVerticalScroll="0" showSheetTabs="0" xWindow="-120" yWindow="-120" windowWidth="29040" windowHeight="15840" xr2:uid="{D316ACB8-3D46-43BD-9B3B-2B7612A4264F}"/>
  </bookViews>
  <sheets>
    <sheet name="Planilha1" sheetId="1" r:id="rId1"/>
    <sheet name="Planilha2" sheetId="5" r:id="rId2"/>
    <sheet name="Planilha3" sheetId="3" r:id="rId3"/>
    <sheet name="Planilha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1" i="3" l="1"/>
  <c r="AA12" i="3"/>
  <c r="AA13" i="3"/>
  <c r="AA15" i="3"/>
  <c r="AA17" i="3"/>
  <c r="AA18" i="3"/>
  <c r="AA20" i="3"/>
  <c r="AA21" i="3"/>
  <c r="AA22" i="3"/>
  <c r="AA25" i="3"/>
  <c r="AA26" i="3"/>
  <c r="AA27" i="3"/>
  <c r="AA28" i="3"/>
  <c r="Z11" i="3"/>
  <c r="Z12" i="3"/>
  <c r="Z13" i="3"/>
  <c r="Z15" i="3"/>
  <c r="Z16" i="3"/>
  <c r="AA16" i="3" s="1"/>
  <c r="Z17" i="3"/>
  <c r="Z18" i="3"/>
  <c r="Z20" i="3"/>
  <c r="Z21" i="3"/>
  <c r="Z22" i="3"/>
  <c r="Z23" i="3"/>
  <c r="AA23" i="3" s="1"/>
  <c r="Z25" i="3"/>
  <c r="Z26" i="3"/>
  <c r="Z27" i="3"/>
  <c r="Z28" i="3"/>
  <c r="Z10" i="3"/>
  <c r="AA10" i="3" s="1"/>
  <c r="P2" i="5"/>
  <c r="A4" i="4"/>
  <c r="O2" i="5"/>
  <c r="O3" i="5"/>
  <c r="P3" i="5" s="1"/>
  <c r="O4" i="5"/>
  <c r="P4" i="5" s="1"/>
  <c r="O1" i="5"/>
  <c r="P1" i="5" s="1"/>
  <c r="A20" i="5"/>
  <c r="F13" i="5"/>
  <c r="F12" i="5"/>
  <c r="F11" i="5"/>
  <c r="F10" i="5"/>
  <c r="F18" i="3"/>
  <c r="F17" i="3"/>
  <c r="F16" i="3"/>
  <c r="F23" i="3"/>
  <c r="F28" i="3"/>
  <c r="F27" i="3"/>
  <c r="F26" i="3"/>
  <c r="F22" i="3"/>
  <c r="F21" i="3"/>
  <c r="A20" i="3"/>
  <c r="N12" i="4"/>
  <c r="N11" i="4"/>
  <c r="N10" i="4"/>
  <c r="AA29" i="3" l="1"/>
  <c r="R11" i="3" s="1"/>
  <c r="R5" i="5"/>
  <c r="R11" i="5" s="1"/>
  <c r="F25" i="3"/>
  <c r="F20" i="3"/>
  <c r="F15" i="3"/>
  <c r="F13" i="3"/>
  <c r="F12" i="3"/>
  <c r="F11" i="3"/>
  <c r="F10" i="3"/>
  <c r="R12" i="5" l="1"/>
  <c r="R12" i="3"/>
</calcChain>
</file>

<file path=xl/sharedStrings.xml><?xml version="1.0" encoding="utf-8"?>
<sst xmlns="http://schemas.openxmlformats.org/spreadsheetml/2006/main" count="56" uniqueCount="35">
  <si>
    <t>COLETA</t>
  </si>
  <si>
    <t>Barra de Aço</t>
  </si>
  <si>
    <t>Tecido</t>
  </si>
  <si>
    <t>Couro</t>
  </si>
  <si>
    <t>Retorno</t>
  </si>
  <si>
    <t>Tábua</t>
  </si>
  <si>
    <t>CUSTO DOS DIÁRIOS</t>
  </si>
  <si>
    <t>Pedido de Venda</t>
  </si>
  <si>
    <t>Tier</t>
  </si>
  <si>
    <t>Venda</t>
  </si>
  <si>
    <t>Lucro</t>
  </si>
  <si>
    <t>Rendimento</t>
  </si>
  <si>
    <t>Preços de Venda</t>
  </si>
  <si>
    <t>Nº de Trabalhadores</t>
  </si>
  <si>
    <t>Preço do Diário</t>
  </si>
  <si>
    <t>T3</t>
  </si>
  <si>
    <t>T4</t>
  </si>
  <si>
    <t>T5</t>
  </si>
  <si>
    <t>T6</t>
  </si>
  <si>
    <t>T7</t>
  </si>
  <si>
    <t>taxas de Mercado</t>
  </si>
  <si>
    <t>formato decimal das taxas :D</t>
  </si>
  <si>
    <t>taxa de mercado sem premium (%)</t>
  </si>
  <si>
    <t>Taxa de Venda por Pedido</t>
  </si>
  <si>
    <t>taxa de mercado com premium (%)</t>
  </si>
  <si>
    <t>Taxa de venda Direta</t>
  </si>
  <si>
    <t>taxa de postagem (%)</t>
  </si>
  <si>
    <t>Taxa de Postagem de pedido</t>
  </si>
  <si>
    <t>Fator de Nutrição</t>
  </si>
  <si>
    <t>Premium ativada?</t>
  </si>
  <si>
    <t>Pedido do Diário</t>
  </si>
  <si>
    <t>CRAFT</t>
  </si>
  <si>
    <t>VB</t>
  </si>
  <si>
    <t>Taxas</t>
  </si>
  <si>
    <t>Custo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</si>
</sst>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"/>
    <numFmt numFmtId="165" formatCode="_-* #,##0.0000_-;\-* #,##0.0000_-;_-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12"/>
      <name val="Arial"/>
      <family val="2"/>
    </font>
    <font>
      <b/>
      <sz val="11"/>
      <color rgb="FF92D050"/>
      <name val="Arial"/>
      <family val="2"/>
    </font>
    <font>
      <b/>
      <sz val="16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b/>
      <sz val="11"/>
      <color theme="2" tint="-9.9978637043366805E-2"/>
      <name val="Arial"/>
      <family val="2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sz val="11"/>
      <color theme="4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AC75D5"/>
        <bgColor indexed="64"/>
      </patternFill>
    </fill>
    <fill>
      <patternFill patternType="solid">
        <fgColor theme="2" tint="-9.9978637043366805E-2"/>
        <bgColor indexed="64"/>
      </patternFill>
    </fill>
  </fills>
  <borders count="11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1" applyNumberFormat="0" applyAlignment="0" applyProtection="0"/>
  </cellStyleXfs>
  <cellXfs count="43">
    <xf numFmtId="0" fontId="0" fillId="0" borderId="0" xfId="0"/>
    <xf numFmtId="0" fontId="0" fillId="3" borderId="0" xfId="0" applyFill="1"/>
    <xf numFmtId="0" fontId="0" fillId="4" borderId="0" xfId="0" applyFill="1"/>
    <xf numFmtId="0" fontId="0" fillId="5" borderId="0" xfId="0" applyFill="1"/>
    <xf numFmtId="164" fontId="8" fillId="3" borderId="2" xfId="4" applyNumberFormat="1" applyFont="1" applyFill="1" applyBorder="1" applyProtection="1"/>
    <xf numFmtId="0" fontId="10" fillId="3" borderId="0" xfId="0" applyFont="1" applyFill="1"/>
    <xf numFmtId="0" fontId="0" fillId="0" borderId="0" xfId="0" applyFill="1"/>
    <xf numFmtId="0" fontId="14" fillId="0" borderId="0" xfId="0" applyFont="1"/>
    <xf numFmtId="0" fontId="0" fillId="4" borderId="0" xfId="0" applyFont="1" applyFill="1"/>
    <xf numFmtId="0" fontId="14" fillId="3" borderId="0" xfId="0" applyFont="1" applyFill="1"/>
    <xf numFmtId="0" fontId="14" fillId="4" borderId="0" xfId="0" applyFont="1" applyFill="1"/>
    <xf numFmtId="0" fontId="15" fillId="0" borderId="0" xfId="0" applyFont="1" applyFill="1"/>
    <xf numFmtId="3" fontId="15" fillId="0" borderId="0" xfId="0" applyNumberFormat="1" applyFont="1" applyFill="1"/>
    <xf numFmtId="3" fontId="0" fillId="4" borderId="0" xfId="0" applyNumberFormat="1" applyFont="1" applyFill="1"/>
    <xf numFmtId="0" fontId="9" fillId="5" borderId="4" xfId="0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7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1" fillId="13" borderId="2" xfId="0" applyFont="1" applyFill="1" applyBorder="1" applyAlignment="1" applyProtection="1">
      <alignment horizontal="center" vertical="center"/>
      <protection locked="0"/>
    </xf>
    <xf numFmtId="3" fontId="4" fillId="7" borderId="2" xfId="0" applyNumberFormat="1" applyFont="1" applyFill="1" applyBorder="1" applyAlignment="1" applyProtection="1">
      <alignment horizontal="center" vertical="center"/>
      <protection locked="0"/>
    </xf>
    <xf numFmtId="0" fontId="5" fillId="6" borderId="2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4" fillId="13" borderId="9" xfId="0" applyFont="1" applyFill="1" applyBorder="1" applyAlignment="1">
      <alignment horizontal="center" vertical="center"/>
    </xf>
    <xf numFmtId="0" fontId="4" fillId="13" borderId="10" xfId="0" applyFont="1" applyFill="1" applyBorder="1" applyAlignment="1">
      <alignment horizontal="center" vertical="center"/>
    </xf>
    <xf numFmtId="9" fontId="4" fillId="9" borderId="2" xfId="2" applyFont="1" applyFill="1" applyBorder="1" applyAlignment="1">
      <alignment horizontal="center" vertical="center"/>
    </xf>
    <xf numFmtId="3" fontId="9" fillId="13" borderId="2" xfId="0" applyNumberFormat="1" applyFont="1" applyFill="1" applyBorder="1" applyAlignment="1">
      <alignment horizontal="center" vertical="center"/>
    </xf>
    <xf numFmtId="3" fontId="4" fillId="9" borderId="2" xfId="0" applyNumberFormat="1" applyFont="1" applyFill="1" applyBorder="1" applyAlignment="1">
      <alignment horizontal="center" vertical="center"/>
    </xf>
    <xf numFmtId="0" fontId="4" fillId="12" borderId="9" xfId="0" applyFont="1" applyFill="1" applyBorder="1" applyAlignment="1">
      <alignment horizontal="center" vertical="center"/>
    </xf>
    <xf numFmtId="0" fontId="4" fillId="12" borderId="10" xfId="0" applyFont="1" applyFill="1" applyBorder="1" applyAlignment="1">
      <alignment horizontal="center" vertical="center"/>
    </xf>
    <xf numFmtId="0" fontId="6" fillId="8" borderId="2" xfId="3" applyFont="1" applyFill="1" applyBorder="1" applyAlignment="1" applyProtection="1"/>
    <xf numFmtId="9" fontId="7" fillId="7" borderId="2" xfId="4" applyNumberFormat="1" applyFont="1" applyFill="1" applyBorder="1" applyProtection="1">
      <protection locked="0"/>
    </xf>
    <xf numFmtId="0" fontId="6" fillId="6" borderId="2" xfId="0" applyFont="1" applyFill="1" applyBorder="1" applyAlignment="1">
      <alignment horizontal="center"/>
    </xf>
    <xf numFmtId="0" fontId="6" fillId="8" borderId="2" xfId="3" applyFont="1" applyFill="1" applyBorder="1" applyAlignment="1" applyProtection="1">
      <alignment horizontal="left"/>
    </xf>
    <xf numFmtId="0" fontId="12" fillId="13" borderId="2" xfId="3" applyFont="1" applyFill="1" applyBorder="1" applyAlignment="1" applyProtection="1">
      <alignment horizontal="center"/>
      <protection locked="0"/>
    </xf>
    <xf numFmtId="10" fontId="7" fillId="7" borderId="2" xfId="4" applyNumberFormat="1" applyFont="1" applyFill="1" applyBorder="1" applyProtection="1">
      <protection locked="0"/>
    </xf>
    <xf numFmtId="165" fontId="7" fillId="7" borderId="2" xfId="1" applyNumberFormat="1" applyFont="1" applyFill="1" applyBorder="1" applyProtection="1">
      <protection locked="0"/>
    </xf>
    <xf numFmtId="9" fontId="10" fillId="3" borderId="0" xfId="2" applyFont="1" applyFill="1"/>
  </cellXfs>
  <cellStyles count="5">
    <cellStyle name="Célula de Verificação" xfId="4" builtinId="23"/>
    <cellStyle name="Normal" xfId="0" builtinId="0"/>
    <cellStyle name="Porcentagem" xfId="2" builtinId="5"/>
    <cellStyle name="Título 4" xfId="3" builtinId="19"/>
    <cellStyle name="Vírgula" xfId="1" builtinId="3"/>
  </cellStyles>
  <dxfs count="34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8" tint="-0.24994659260841701"/>
        </patternFill>
      </fill>
    </dxf>
    <dxf>
      <font>
        <color theme="0"/>
      </font>
      <fill>
        <patternFill>
          <bgColor rgb="FF800000"/>
        </patternFill>
      </fill>
    </dxf>
    <dxf>
      <font>
        <color theme="0"/>
      </font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</dxfs>
  <tableStyles count="0" defaultTableStyle="TableStyleMedium2" defaultPivotStyle="PivotStyleLight16"/>
  <colors>
    <mruColors>
      <color rgb="FF800000"/>
      <color rgb="FFAC75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$C$9" fmlaRange="$Y$1:$Y$6" noThreeD="1" sel="1" val="0"/>
</file>

<file path=xl/ctrlProps/ctrlProp2.xml><?xml version="1.0" encoding="utf-8"?>
<formControlPr xmlns="http://schemas.microsoft.com/office/spreadsheetml/2009/9/main" objectType="CheckBox" fmlaLink="$L$10" lockText="1" noThreeD="1"/>
</file>

<file path=xl/ctrlProps/ctrlProp3.xml><?xml version="1.0" encoding="utf-8"?>
<formControlPr xmlns="http://schemas.microsoft.com/office/spreadsheetml/2009/9/main" objectType="CheckBox" fmlaLink="$L$11" lockText="1" noThreeD="1"/>
</file>

<file path=xl/ctrlProps/ctrlProp4.xml><?xml version="1.0" encoding="utf-8"?>
<formControlPr xmlns="http://schemas.microsoft.com/office/spreadsheetml/2009/9/main" objectType="CheckBox" fmlaLink="$L$12" lockText="1" noThreeD="1"/>
</file>

<file path=xl/ctrlProps/ctrlProp5.xml><?xml version="1.0" encoding="utf-8"?>
<formControlPr xmlns="http://schemas.microsoft.com/office/spreadsheetml/2009/9/main" objectType="CheckBox" fmlaLink="$L$13" lockText="1" noThreeD="1"/>
</file>

<file path=xl/ctrlProps/ctrlProp6.xml><?xml version="1.0" encoding="utf-8"?>
<formControlPr xmlns="http://schemas.microsoft.com/office/spreadsheetml/2009/9/main" objectType="CheckBox" fmlaLink="$C$15" lockText="1" noThreeD="1"/>
</file>

<file path=xl/ctrlProps/ctrlProp7.xml><?xml version="1.0" encoding="utf-8"?>
<formControlPr xmlns="http://schemas.microsoft.com/office/spreadsheetml/2009/9/main" objectType="Drop" dropStyle="combo" dx="22" fmlaLink="$C$9" fmlaRange="$Y$1:$Y$6" noThreeD="1" sel="2" val="0"/>
</file>

<file path=xl/ctrlProps/ctrlProp8.xml><?xml version="1.0" encoding="utf-8"?>
<formControlPr xmlns="http://schemas.microsoft.com/office/spreadsheetml/2009/9/main" objectType="CheckBox" fmlaLink="$L$10" lockText="1" noThreeD="1"/>
</file>

<file path=xl/ctrlProps/ctrlProp9.xml><?xml version="1.0" encoding="utf-8"?>
<formControlPr xmlns="http://schemas.microsoft.com/office/spreadsheetml/2009/9/main" objectType="CheckBox" fmlaLink="$L$11" lockText="1" noThreeD="1"/>
</file>

<file path=xl/ctrlProps/ctrlProp10.xml><?xml version="1.0" encoding="utf-8"?>
<formControlPr xmlns="http://schemas.microsoft.com/office/spreadsheetml/2009/9/main" objectType="CheckBox" fmlaLink="$L$12" lockText="1" noThreeD="1"/>
</file>

<file path=xl/ctrlProps/ctrlProp11.xml><?xml version="1.0" encoding="utf-8"?>
<formControlPr xmlns="http://schemas.microsoft.com/office/spreadsheetml/2009/9/main" objectType="CheckBox" fmlaLink="$L$13" lockText="1" noThreeD="1"/>
</file>

<file path=xl/ctrlProps/ctrlProp12.xml><?xml version="1.0" encoding="utf-8"?>
<formControlPr xmlns="http://schemas.microsoft.com/office/spreadsheetml/2009/9/main" objectType="CheckBox" fmlaLink="$L$15" lockText="1" noThreeD="1"/>
</file>

<file path=xl/ctrlProps/ctrlProp13.xml><?xml version="1.0" encoding="utf-8"?>
<formControlPr xmlns="http://schemas.microsoft.com/office/spreadsheetml/2009/9/main" objectType="CheckBox" fmlaLink="$L$16" lockText="1" noThreeD="1"/>
</file>

<file path=xl/ctrlProps/ctrlProp14.xml><?xml version="1.0" encoding="utf-8"?>
<formControlPr xmlns="http://schemas.microsoft.com/office/spreadsheetml/2009/9/main" objectType="CheckBox" fmlaLink="$L$17" lockText="1" noThreeD="1"/>
</file>

<file path=xl/ctrlProps/ctrlProp15.xml><?xml version="1.0" encoding="utf-8"?>
<formControlPr xmlns="http://schemas.microsoft.com/office/spreadsheetml/2009/9/main" objectType="CheckBox" fmlaLink="$L$18" lockText="1" noThreeD="1"/>
</file>

<file path=xl/ctrlProps/ctrlProp16.xml><?xml version="1.0" encoding="utf-8"?>
<formControlPr xmlns="http://schemas.microsoft.com/office/spreadsheetml/2009/9/main" objectType="CheckBox" fmlaLink="$L$20" lockText="1" noThreeD="1"/>
</file>

<file path=xl/ctrlProps/ctrlProp17.xml><?xml version="1.0" encoding="utf-8"?>
<formControlPr xmlns="http://schemas.microsoft.com/office/spreadsheetml/2009/9/main" objectType="CheckBox" fmlaLink="$L$21" lockText="1" noThreeD="1"/>
</file>

<file path=xl/ctrlProps/ctrlProp18.xml><?xml version="1.0" encoding="utf-8"?>
<formControlPr xmlns="http://schemas.microsoft.com/office/spreadsheetml/2009/9/main" objectType="CheckBox" fmlaLink="$L$22" lockText="1" noThreeD="1"/>
</file>

<file path=xl/ctrlProps/ctrlProp19.xml><?xml version="1.0" encoding="utf-8"?>
<formControlPr xmlns="http://schemas.microsoft.com/office/spreadsheetml/2009/9/main" objectType="CheckBox" fmlaLink="$L$23" lockText="1" noThreeD="1"/>
</file>

<file path=xl/ctrlProps/ctrlProp20.xml><?xml version="1.0" encoding="utf-8"?>
<formControlPr xmlns="http://schemas.microsoft.com/office/spreadsheetml/2009/9/main" objectType="CheckBox" fmlaLink="$L$25" lockText="1" noThreeD="1"/>
</file>

<file path=xl/ctrlProps/ctrlProp21.xml><?xml version="1.0" encoding="utf-8"?>
<formControlPr xmlns="http://schemas.microsoft.com/office/spreadsheetml/2009/9/main" objectType="CheckBox" fmlaLink="$L$26" lockText="1" noThreeD="1"/>
</file>

<file path=xl/ctrlProps/ctrlProp22.xml><?xml version="1.0" encoding="utf-8"?>
<formControlPr xmlns="http://schemas.microsoft.com/office/spreadsheetml/2009/9/main" objectType="CheckBox" fmlaLink="$L$27" lockText="1" noThreeD="1"/>
</file>

<file path=xl/ctrlProps/ctrlProp23.xml><?xml version="1.0" encoding="utf-8"?>
<formControlPr xmlns="http://schemas.microsoft.com/office/spreadsheetml/2009/9/main" objectType="CheckBox" fmlaLink="$L$28" lockText="1" noThreeD="1"/>
</file>

<file path=xl/ctrlProps/ctrlProp24.xml><?xml version="1.0" encoding="utf-8"?>
<formControlPr xmlns="http://schemas.microsoft.com/office/spreadsheetml/2009/9/main" objectType="CheckBox" fmlaLink="$C$15" lockText="1" noThreeD="1"/>
</file>

<file path=xl/ctrlProps/ctrlProp25.xml><?xml version="1.0" encoding="utf-8"?>
<formControlPr xmlns="http://schemas.microsoft.com/office/spreadsheetml/2009/9/main" objectType="CheckBox" fmlaLink="$F$14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lanilha3!A1"/><Relationship Id="rId2" Type="http://schemas.openxmlformats.org/officeDocument/2006/relationships/hyperlink" Target="#Planilha2!A1"/><Relationship Id="rId1" Type="http://schemas.openxmlformats.org/officeDocument/2006/relationships/hyperlink" Target="#Planilha1!A1"/><Relationship Id="rId5" Type="http://schemas.openxmlformats.org/officeDocument/2006/relationships/image" Target="../media/image2.png"/><Relationship Id="rId4" Type="http://schemas.openxmlformats.org/officeDocument/2006/relationships/hyperlink" Target="#Planilha4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lanilha3!A1"/><Relationship Id="rId2" Type="http://schemas.openxmlformats.org/officeDocument/2006/relationships/hyperlink" Target="#Planilha2!A1"/><Relationship Id="rId1" Type="http://schemas.openxmlformats.org/officeDocument/2006/relationships/hyperlink" Target="#Planilha1!A1"/><Relationship Id="rId4" Type="http://schemas.openxmlformats.org/officeDocument/2006/relationships/hyperlink" Target="#Planilha4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lanilha3!A1"/><Relationship Id="rId2" Type="http://schemas.openxmlformats.org/officeDocument/2006/relationships/hyperlink" Target="#Planilha2!A1"/><Relationship Id="rId1" Type="http://schemas.openxmlformats.org/officeDocument/2006/relationships/hyperlink" Target="#Planilha1!A1"/><Relationship Id="rId4" Type="http://schemas.openxmlformats.org/officeDocument/2006/relationships/hyperlink" Target="#Planilha4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lanilha3!A1"/><Relationship Id="rId2" Type="http://schemas.openxmlformats.org/officeDocument/2006/relationships/hyperlink" Target="#Planilha2!A1"/><Relationship Id="rId1" Type="http://schemas.openxmlformats.org/officeDocument/2006/relationships/hyperlink" Target="#Planilha1!A1"/><Relationship Id="rId5" Type="http://schemas.openxmlformats.org/officeDocument/2006/relationships/image" Target="../media/image2.png"/><Relationship Id="rId4" Type="http://schemas.openxmlformats.org/officeDocument/2006/relationships/hyperlink" Target="#Planilha4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</xdr:col>
      <xdr:colOff>666750</xdr:colOff>
      <xdr:row>1</xdr:row>
      <xdr:rowOff>114300</xdr:rowOff>
    </xdr:to>
    <xdr:sp macro="" textlink="">
      <xdr:nvSpPr>
        <xdr:cNvPr id="2" name="Retângulo: Cantos Diagonais Recort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1"/>
          <a:ext cx="1381125" cy="304799"/>
        </a:xfrm>
        <a:prstGeom prst="snip2Diag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228600">
            <a:schemeClr val="accent5">
              <a:lumMod val="75000"/>
              <a:alpha val="36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666750</xdr:colOff>
      <xdr:row>1</xdr:row>
      <xdr:rowOff>114299</xdr:rowOff>
    </xdr:to>
    <xdr:sp macro="" textlink="">
      <xdr:nvSpPr>
        <xdr:cNvPr id="9" name="Retângulo: Cantos Diagonais Recort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428750" y="0"/>
          <a:ext cx="1381125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COLETA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666750</xdr:colOff>
      <xdr:row>1</xdr:row>
      <xdr:rowOff>114299</xdr:rowOff>
    </xdr:to>
    <xdr:sp macro="" textlink="">
      <xdr:nvSpPr>
        <xdr:cNvPr id="10" name="Retângulo: Cantos Diagonais Recort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857500" y="0"/>
          <a:ext cx="1381125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CRAFT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8</xdr:col>
      <xdr:colOff>400050</xdr:colOff>
      <xdr:row>1</xdr:row>
      <xdr:rowOff>114299</xdr:rowOff>
    </xdr:to>
    <xdr:sp macro="" textlink="">
      <xdr:nvSpPr>
        <xdr:cNvPr id="11" name="Retângulo: Cantos Diagonais Recort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286250" y="0"/>
          <a:ext cx="1828800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  <xdr:twoCellAnchor>
    <xdr:from>
      <xdr:col>5</xdr:col>
      <xdr:colOff>248455</xdr:colOff>
      <xdr:row>7</xdr:row>
      <xdr:rowOff>176164</xdr:rowOff>
    </xdr:from>
    <xdr:to>
      <xdr:col>18</xdr:col>
      <xdr:colOff>320734</xdr:colOff>
      <xdr:row>42</xdr:row>
      <xdr:rowOff>123825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820330" y="1547764"/>
          <a:ext cx="9359154" cy="6615161"/>
        </a:xfrm>
        <a:prstGeom prst="roundRect">
          <a:avLst>
            <a:gd name="adj" fmla="val 48"/>
          </a:avLst>
        </a:prstGeom>
        <a:solidFill>
          <a:schemeClr val="dk1">
            <a:alpha val="50000"/>
          </a:schemeClr>
        </a:solidFill>
        <a:ln>
          <a:noFill/>
        </a:ln>
        <a:effectLst>
          <a:glow rad="101600">
            <a:schemeClr val="tx1">
              <a:lumMod val="50000"/>
              <a:lumOff val="50000"/>
              <a:alpha val="6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800" b="1">
            <a:latin typeface="Century Gothic" panose="020B0502020202020204" pitchFamily="34" charset="0"/>
            <a:ea typeface="Yu Gothic" panose="020B0400000000000000" pitchFamily="34" charset="-128"/>
            <a:cs typeface="Calibri" panose="020F0502020204030204" pitchFamily="34" charset="0"/>
          </a:endParaRPr>
        </a:p>
        <a:p>
          <a:pPr algn="ctr"/>
          <a:r>
            <a:rPr lang="pt-BR" sz="1800" b="1">
              <a:latin typeface="Century Gothic" panose="020B0502020202020204" pitchFamily="34" charset="0"/>
              <a:ea typeface="Yu Gothic" panose="020B0400000000000000" pitchFamily="34" charset="-128"/>
              <a:cs typeface="Calibri" panose="020F0502020204030204" pitchFamily="34" charset="0"/>
            </a:rPr>
            <a:t>OLÁ AVENTUREIROS!</a:t>
          </a:r>
        </a:p>
        <a:p>
          <a:pPr algn="ctr"/>
          <a:endParaRPr lang="pt-BR" sz="1800" b="1">
            <a:latin typeface="Century Gothic" panose="020B0502020202020204" pitchFamily="34" charset="0"/>
            <a:ea typeface="Yu Gothic" panose="020B0400000000000000" pitchFamily="34" charset="-128"/>
            <a:cs typeface="Calibri" panose="020F0502020204030204" pitchFamily="34" charset="0"/>
          </a:endParaRPr>
        </a:p>
        <a:p>
          <a:pPr algn="ctr"/>
          <a:r>
            <a: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Est</a:t>
          </a:r>
          <a:r>
            <a:rPr lang="pt-BR" sz="16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é a planilha de Trabalhadores, com ela você será capaz de calcular  seus investimentos com trabalahadores simulando processos para saber os Gastos e os Lucros😁</a:t>
          </a:r>
          <a:endParaRPr lang="pt-BR" sz="2000">
            <a:effectLst/>
          </a:endParaRPr>
        </a:p>
        <a:p>
          <a:pPr algn="ctr"/>
          <a:r>
            <a:rPr lang="pt-BR" sz="16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 como sempre gosto de fazer, a planilha possui uma interface fácil  e intuitiva  para  torná-la acessível a todos, desde jogadores iniciantes até os veteranos.</a:t>
          </a:r>
          <a:endParaRPr lang="pt-BR" sz="2000">
            <a:effectLst/>
          </a:endParaRPr>
        </a:p>
        <a:p>
          <a:pPr algn="ctr"/>
          <a:r>
            <a:rPr lang="pt-BR" sz="16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 claro, eu desenvolvi e projetei essa planilha  sozinho com uma ajudinha do ChatGPT🤖, mas ninguém é perfeito, então pode haver alguns erros. </a:t>
          </a:r>
          <a:endParaRPr lang="pt-BR" sz="2000">
            <a:effectLst/>
          </a:endParaRPr>
        </a:p>
        <a:p>
          <a:pPr algn="ctr"/>
          <a:r>
            <a:rPr lang="pt-BR" sz="16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Por isso, se você encontrar algum erro, tiver dúvidas ou sugestões de melhoria, entre em contato comigo pelo Discord</a:t>
          </a:r>
          <a:endParaRPr lang="pt-BR" sz="2000">
            <a:effectLst/>
          </a:endParaRPr>
        </a:p>
        <a:p>
          <a:pPr algn="ctr"/>
          <a:r>
            <a: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 bom, produzir essas planilhas demanda  bastante tempo. </a:t>
          </a:r>
          <a:r>
            <a:rPr lang="pt-BR" sz="16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</a:t>
          </a:r>
          <a:r>
            <a: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 você quiser apoiar meu trabalho com qualquer contribuição, ficarei  imensamente grato. Meu Pix está disponível abaixo, junto com outras informações.</a:t>
          </a:r>
          <a:endParaRPr lang="pt-BR" sz="2000">
            <a:effectLst/>
          </a:endParaRPr>
        </a:p>
        <a:p>
          <a:pPr algn="ctr"/>
          <a:r>
            <a: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E não se preocupe, cada investimento será utilizado com sabedoria</a:t>
          </a:r>
          <a:r>
            <a:rPr lang="pt-BR" sz="16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com meus estudos</a:t>
          </a:r>
          <a:r>
            <a:rPr lang="pt-BR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 </a:t>
          </a:r>
          <a:endParaRPr lang="pt-BR" sz="2000">
            <a:effectLst/>
          </a:endParaRPr>
        </a:p>
        <a:p>
          <a:pPr algn="ctr" eaLnBrk="1" fontAlgn="auto" latinLnBrk="0" hangingPunct="1"/>
          <a:r>
            <a:rPr lang="pt-BR" sz="16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Enfim, muito Obrigado</a:t>
          </a:r>
          <a:r>
            <a:rPr lang="pt-BR" sz="16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pelo apoio e pela sua Contribuição</a:t>
          </a:r>
          <a:endParaRPr lang="pt-BR" sz="2000">
            <a:effectLst/>
          </a:endParaRPr>
        </a:p>
        <a:p>
          <a:pPr algn="ctr" eaLnBrk="1" fontAlgn="auto" latinLnBrk="0" hangingPunct="1"/>
          <a:r>
            <a:rPr lang="pt-BR" sz="16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 boa Sorte nas suas Viagens!</a:t>
          </a:r>
        </a:p>
        <a:p>
          <a:pPr algn="ctr" eaLnBrk="1" fontAlgn="auto" latinLnBrk="0" hangingPunct="1"/>
          <a:endParaRPr lang="pt-BR" sz="2000">
            <a:effectLst/>
          </a:endParaRPr>
        </a:p>
        <a:p>
          <a:pPr algn="ctr" eaLnBrk="1" fontAlgn="auto" latinLnBrk="0" hangingPunct="1"/>
          <a:r>
            <a:rPr lang="pt-BR" sz="1400" b="1" i="0" baseline="0"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AmigoImaginário - Cauã</a:t>
          </a:r>
        </a:p>
        <a:p>
          <a:pPr algn="ctr" eaLnBrk="1" fontAlgn="auto" latinLnBrk="0" hangingPunct="1"/>
          <a:r>
            <a:rPr lang="pt-BR" sz="1400" b="1" i="0">
              <a:solidFill>
                <a:srgbClr val="FF000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Youtube</a:t>
          </a:r>
          <a:r>
            <a:rPr lang="pt-BR" sz="1400" b="1" i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: Amigo Imáginario</a:t>
          </a:r>
        </a:p>
        <a:p>
          <a:pPr algn="ctr" eaLnBrk="1" fontAlgn="auto" latinLnBrk="0" hangingPunct="1"/>
          <a:r>
            <a:rPr lang="pt-BR" sz="1400" b="1" i="0">
              <a:solidFill>
                <a:srgbClr val="00B0F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Discord</a:t>
          </a:r>
          <a:r>
            <a:rPr lang="pt-BR" sz="1400" b="1" i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: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 amigoimaginario020</a:t>
          </a:r>
        </a:p>
        <a:p>
          <a:pPr algn="ctr" eaLnBrk="1" fontAlgn="auto" latinLnBrk="0" hangingPunct="1"/>
          <a:r>
            <a:rPr lang="pt-BR" sz="1400" b="1" i="0" baseline="0">
              <a:solidFill>
                <a:srgbClr val="8C3FC5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Mamutes da Alvorada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: https://discord.gg/VFcm5h6F56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400" b="1" i="0" baseline="0">
              <a:solidFill>
                <a:srgbClr val="92D050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Meu Pix</a:t>
          </a:r>
          <a:r>
            <a:rPr lang="pt-BR" sz="1400" b="1" i="0" baseline="0">
              <a:solidFill>
                <a:schemeClr val="lt1"/>
              </a:solidFill>
              <a:effectLst/>
              <a:latin typeface="Century Gothic" panose="020B0502020202020204" pitchFamily="34" charset="0"/>
              <a:ea typeface="+mn-ea"/>
              <a:cs typeface="+mn-cs"/>
            </a:rPr>
            <a:t>🤠👍: cauamoura014@gmail.com</a:t>
          </a:r>
          <a:endParaRPr lang="pt-BR" sz="1800" b="1">
            <a:effectLst/>
            <a:latin typeface="Century Gothic" panose="020B0502020202020204" pitchFamily="34" charset="0"/>
          </a:endParaRPr>
        </a:p>
        <a:p>
          <a:pPr algn="ctr" eaLnBrk="1" fontAlgn="auto" latinLnBrk="0" hangingPunct="1"/>
          <a:endParaRPr lang="pt-BR" sz="1200" b="1">
            <a:effectLst/>
            <a:latin typeface="Century Gothic" panose="020B0502020202020204" pitchFamily="34" charset="0"/>
          </a:endParaRPr>
        </a:p>
        <a:p>
          <a:pPr algn="ctr"/>
          <a:endParaRPr lang="pt-BR" sz="1200" b="1" baseline="0">
            <a:latin typeface="Century Gothic" panose="020B0502020202020204" pitchFamily="34" charset="0"/>
          </a:endParaRPr>
        </a:p>
        <a:p>
          <a:pPr algn="ctr"/>
          <a:endParaRPr lang="pt-BR" sz="1200" b="1" baseline="0">
            <a:latin typeface="Century Gothic" panose="020B0502020202020204" pitchFamily="34" charset="0"/>
          </a:endParaRPr>
        </a:p>
        <a:p>
          <a:pPr algn="ctr"/>
          <a:endParaRPr lang="pt-BR" sz="1200" b="1" baseline="0">
            <a:latin typeface="Century Gothic" panose="020B0502020202020204" pitchFamily="34" charset="0"/>
          </a:endParaRPr>
        </a:p>
        <a:p>
          <a:pPr algn="ctr"/>
          <a:endParaRPr lang="pt-BR" sz="1050" b="1" baseline="0">
            <a:latin typeface="Century Gothic" panose="020B0502020202020204" pitchFamily="34" charset="0"/>
          </a:endParaRPr>
        </a:p>
        <a:p>
          <a:pPr algn="ctr"/>
          <a:endParaRPr lang="pt-BR" sz="1050" b="1"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1</xdr:col>
      <xdr:colOff>323850</xdr:colOff>
      <xdr:row>8</xdr:row>
      <xdr:rowOff>39791</xdr:rowOff>
    </xdr:from>
    <xdr:to>
      <xdr:col>3</xdr:col>
      <xdr:colOff>121599</xdr:colOff>
      <xdr:row>13</xdr:row>
      <xdr:rowOff>120571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225" y="1601891"/>
          <a:ext cx="1226499" cy="103328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7</xdr:col>
      <xdr:colOff>634217</xdr:colOff>
      <xdr:row>2</xdr:row>
      <xdr:rowOff>28575</xdr:rowOff>
    </xdr:from>
    <xdr:to>
      <xdr:col>15</xdr:col>
      <xdr:colOff>711663</xdr:colOff>
      <xdr:row>6</xdr:row>
      <xdr:rowOff>176951</xdr:rowOff>
    </xdr:to>
    <xdr:sp macro="" textlink="">
      <xdr:nvSpPr>
        <xdr:cNvPr id="15" name="Faixa de Opções: Inclinada para Cima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634842" y="409575"/>
          <a:ext cx="5792446" cy="948476"/>
        </a:xfrm>
        <a:prstGeom prst="ribbon2">
          <a:avLst>
            <a:gd name="adj1" fmla="val 12585"/>
            <a:gd name="adj2" fmla="val 75000"/>
          </a:avLst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  <a:reflection blurRad="6350" stA="50000" endA="300" endPos="55500" dist="50800" dir="5400000" sy="-100000" algn="bl" rotWithShape="0"/>
        </a:effectLst>
        <a:scene3d>
          <a:camera prst="obliqueBottomRight"/>
          <a:lightRig rig="threePt" dir="t"/>
        </a:scene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  <a:latin typeface="Cooper Black" panose="0208090404030B020404" pitchFamily="18" charset="0"/>
            </a:rPr>
            <a:t>MAMUTES</a:t>
          </a:r>
          <a:r>
            <a:rPr lang="pt-BR" sz="2000" baseline="0">
              <a:solidFill>
                <a:sysClr val="windowText" lastClr="000000"/>
              </a:solidFill>
              <a:latin typeface="Cooper Black" panose="0208090404030B020404" pitchFamily="18" charset="0"/>
            </a:rPr>
            <a:t> DA ALVORADA</a:t>
          </a:r>
          <a:endParaRPr lang="pt-BR" sz="2000">
            <a:solidFill>
              <a:sysClr val="windowText" lastClr="000000"/>
            </a:solidFill>
            <a:latin typeface="Cooper Black" panose="0208090404030B0204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8</xdr:row>
          <xdr:rowOff>123825</xdr:rowOff>
        </xdr:from>
        <xdr:to>
          <xdr:col>3</xdr:col>
          <xdr:colOff>609600</xdr:colOff>
          <xdr:row>9</xdr:row>
          <xdr:rowOff>133350</xdr:rowOff>
        </xdr:to>
        <xdr:sp macro="" textlink="">
          <xdr:nvSpPr>
            <xdr:cNvPr id="5121" name="Drop Dow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9</xdr:row>
          <xdr:rowOff>0</xdr:rowOff>
        </xdr:from>
        <xdr:to>
          <xdr:col>12</xdr:col>
          <xdr:colOff>504825</xdr:colOff>
          <xdr:row>10</xdr:row>
          <xdr:rowOff>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10</xdr:row>
          <xdr:rowOff>0</xdr:rowOff>
        </xdr:from>
        <xdr:to>
          <xdr:col>12</xdr:col>
          <xdr:colOff>504825</xdr:colOff>
          <xdr:row>11</xdr:row>
          <xdr:rowOff>9525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11</xdr:row>
          <xdr:rowOff>0</xdr:rowOff>
        </xdr:from>
        <xdr:to>
          <xdr:col>12</xdr:col>
          <xdr:colOff>504825</xdr:colOff>
          <xdr:row>12</xdr:row>
          <xdr:rowOff>9525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12</xdr:row>
          <xdr:rowOff>0</xdr:rowOff>
        </xdr:from>
        <xdr:to>
          <xdr:col>12</xdr:col>
          <xdr:colOff>504825</xdr:colOff>
          <xdr:row>13</xdr:row>
          <xdr:rowOff>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14</xdr:row>
          <xdr:rowOff>76200</xdr:rowOff>
        </xdr:from>
        <xdr:to>
          <xdr:col>3</xdr:col>
          <xdr:colOff>381000</xdr:colOff>
          <xdr:row>15</xdr:row>
          <xdr:rowOff>104775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1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FIZ PEDIDO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1</xdr:rowOff>
    </xdr:from>
    <xdr:to>
      <xdr:col>1</xdr:col>
      <xdr:colOff>666750</xdr:colOff>
      <xdr:row>1</xdr:row>
      <xdr:rowOff>114300</xdr:rowOff>
    </xdr:to>
    <xdr:sp macro="" textlink="">
      <xdr:nvSpPr>
        <xdr:cNvPr id="24" name="Retângulo: Cantos Diagonais Recortados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0" y="1"/>
          <a:ext cx="1381125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666750</xdr:colOff>
      <xdr:row>1</xdr:row>
      <xdr:rowOff>114299</xdr:rowOff>
    </xdr:to>
    <xdr:sp macro="" textlink="">
      <xdr:nvSpPr>
        <xdr:cNvPr id="25" name="Retângulo: Cantos Diagonais Recortados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428750" y="0"/>
          <a:ext cx="1381125" cy="304799"/>
        </a:xfrm>
        <a:prstGeom prst="snip2Diag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228600">
            <a:srgbClr val="92D050">
              <a:alpha val="35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COLETA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666750</xdr:colOff>
      <xdr:row>1</xdr:row>
      <xdr:rowOff>114299</xdr:rowOff>
    </xdr:to>
    <xdr:sp macro="" textlink="">
      <xdr:nvSpPr>
        <xdr:cNvPr id="26" name="Retângulo: Cantos Diagonais Recortados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2857500" y="0"/>
          <a:ext cx="1381125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CRAFT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8</xdr:col>
      <xdr:colOff>400050</xdr:colOff>
      <xdr:row>1</xdr:row>
      <xdr:rowOff>114299</xdr:rowOff>
    </xdr:to>
    <xdr:sp macro="" textlink="">
      <xdr:nvSpPr>
        <xdr:cNvPr id="27" name="Retângulo: Cantos Diagonais Recort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4286250" y="0"/>
          <a:ext cx="1828800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8</xdr:row>
          <xdr:rowOff>123825</xdr:rowOff>
        </xdr:from>
        <xdr:to>
          <xdr:col>3</xdr:col>
          <xdr:colOff>609600</xdr:colOff>
          <xdr:row>9</xdr:row>
          <xdr:rowOff>123825</xdr:rowOff>
        </xdr:to>
        <xdr:sp macro="" textlink="">
          <xdr:nvSpPr>
            <xdr:cNvPr id="3073" name="Drop Dow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9</xdr:row>
          <xdr:rowOff>0</xdr:rowOff>
        </xdr:from>
        <xdr:to>
          <xdr:col>12</xdr:col>
          <xdr:colOff>504825</xdr:colOff>
          <xdr:row>10</xdr:row>
          <xdr:rowOff>0</xdr:rowOff>
        </xdr:to>
        <xdr:sp macro="" textlink="">
          <xdr:nvSpPr>
            <xdr:cNvPr id="3074" name="Check Box 2" descr="&#10;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10</xdr:row>
          <xdr:rowOff>0</xdr:rowOff>
        </xdr:from>
        <xdr:to>
          <xdr:col>12</xdr:col>
          <xdr:colOff>504825</xdr:colOff>
          <xdr:row>11</xdr:row>
          <xdr:rowOff>9525</xdr:rowOff>
        </xdr:to>
        <xdr:sp macro="" textlink="">
          <xdr:nvSpPr>
            <xdr:cNvPr id="3075" name="Check Box 3" descr="&#10;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11</xdr:row>
          <xdr:rowOff>0</xdr:rowOff>
        </xdr:from>
        <xdr:to>
          <xdr:col>12</xdr:col>
          <xdr:colOff>504825</xdr:colOff>
          <xdr:row>12</xdr:row>
          <xdr:rowOff>9525</xdr:rowOff>
        </xdr:to>
        <xdr:sp macro="" textlink="">
          <xdr:nvSpPr>
            <xdr:cNvPr id="3076" name="Check Box 4" descr="&#10;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12</xdr:row>
          <xdr:rowOff>0</xdr:rowOff>
        </xdr:from>
        <xdr:to>
          <xdr:col>12</xdr:col>
          <xdr:colOff>504825</xdr:colOff>
          <xdr:row>13</xdr:row>
          <xdr:rowOff>0</xdr:rowOff>
        </xdr:to>
        <xdr:sp macro="" textlink="">
          <xdr:nvSpPr>
            <xdr:cNvPr id="3077" name="Check Box 5" descr="&#10;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14</xdr:row>
          <xdr:rowOff>0</xdr:rowOff>
        </xdr:from>
        <xdr:to>
          <xdr:col>12</xdr:col>
          <xdr:colOff>504825</xdr:colOff>
          <xdr:row>15</xdr:row>
          <xdr:rowOff>0</xdr:rowOff>
        </xdr:to>
        <xdr:sp macro="" textlink="">
          <xdr:nvSpPr>
            <xdr:cNvPr id="3078" name="Check Box 6" descr="&#10;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15</xdr:row>
          <xdr:rowOff>0</xdr:rowOff>
        </xdr:from>
        <xdr:to>
          <xdr:col>12</xdr:col>
          <xdr:colOff>504825</xdr:colOff>
          <xdr:row>16</xdr:row>
          <xdr:rowOff>9525</xdr:rowOff>
        </xdr:to>
        <xdr:sp macro="" textlink="">
          <xdr:nvSpPr>
            <xdr:cNvPr id="3079" name="Check Box 7" descr="&#10;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16</xdr:row>
          <xdr:rowOff>0</xdr:rowOff>
        </xdr:from>
        <xdr:to>
          <xdr:col>12</xdr:col>
          <xdr:colOff>504825</xdr:colOff>
          <xdr:row>17</xdr:row>
          <xdr:rowOff>9525</xdr:rowOff>
        </xdr:to>
        <xdr:sp macro="" textlink="">
          <xdr:nvSpPr>
            <xdr:cNvPr id="3080" name="Check Box 8" descr="&#10;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17</xdr:row>
          <xdr:rowOff>0</xdr:rowOff>
        </xdr:from>
        <xdr:to>
          <xdr:col>12</xdr:col>
          <xdr:colOff>504825</xdr:colOff>
          <xdr:row>18</xdr:row>
          <xdr:rowOff>0</xdr:rowOff>
        </xdr:to>
        <xdr:sp macro="" textlink="">
          <xdr:nvSpPr>
            <xdr:cNvPr id="3081" name="Check Box 9" descr="&#10;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0</xdr:rowOff>
        </xdr:from>
        <xdr:to>
          <xdr:col>12</xdr:col>
          <xdr:colOff>504825</xdr:colOff>
          <xdr:row>20</xdr:row>
          <xdr:rowOff>0</xdr:rowOff>
        </xdr:to>
        <xdr:sp macro="" textlink="">
          <xdr:nvSpPr>
            <xdr:cNvPr id="3082" name="Check Box 10" descr="&#10;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20</xdr:row>
          <xdr:rowOff>0</xdr:rowOff>
        </xdr:from>
        <xdr:to>
          <xdr:col>12</xdr:col>
          <xdr:colOff>504825</xdr:colOff>
          <xdr:row>21</xdr:row>
          <xdr:rowOff>0</xdr:rowOff>
        </xdr:to>
        <xdr:sp macro="" textlink="">
          <xdr:nvSpPr>
            <xdr:cNvPr id="3083" name="Check Box 11" descr="&#10;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21</xdr:row>
          <xdr:rowOff>0</xdr:rowOff>
        </xdr:from>
        <xdr:to>
          <xdr:col>12</xdr:col>
          <xdr:colOff>504825</xdr:colOff>
          <xdr:row>22</xdr:row>
          <xdr:rowOff>0</xdr:rowOff>
        </xdr:to>
        <xdr:sp macro="" textlink="">
          <xdr:nvSpPr>
            <xdr:cNvPr id="3084" name="Check Box 12" descr="&#10;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22</xdr:row>
          <xdr:rowOff>0</xdr:rowOff>
        </xdr:from>
        <xdr:to>
          <xdr:col>12</xdr:col>
          <xdr:colOff>504825</xdr:colOff>
          <xdr:row>23</xdr:row>
          <xdr:rowOff>0</xdr:rowOff>
        </xdr:to>
        <xdr:sp macro="" textlink="">
          <xdr:nvSpPr>
            <xdr:cNvPr id="3085" name="Check Box 13" descr="&#10;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24</xdr:row>
          <xdr:rowOff>0</xdr:rowOff>
        </xdr:from>
        <xdr:to>
          <xdr:col>12</xdr:col>
          <xdr:colOff>504825</xdr:colOff>
          <xdr:row>25</xdr:row>
          <xdr:rowOff>0</xdr:rowOff>
        </xdr:to>
        <xdr:sp macro="" textlink="">
          <xdr:nvSpPr>
            <xdr:cNvPr id="3086" name="Check Box 14" descr="&#10;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25</xdr:row>
          <xdr:rowOff>0</xdr:rowOff>
        </xdr:from>
        <xdr:to>
          <xdr:col>12</xdr:col>
          <xdr:colOff>504825</xdr:colOff>
          <xdr:row>26</xdr:row>
          <xdr:rowOff>0</xdr:rowOff>
        </xdr:to>
        <xdr:sp macro="" textlink="">
          <xdr:nvSpPr>
            <xdr:cNvPr id="3087" name="Check Box 15" descr="&#10;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26</xdr:row>
          <xdr:rowOff>0</xdr:rowOff>
        </xdr:from>
        <xdr:to>
          <xdr:col>12</xdr:col>
          <xdr:colOff>504825</xdr:colOff>
          <xdr:row>27</xdr:row>
          <xdr:rowOff>0</xdr:rowOff>
        </xdr:to>
        <xdr:sp macro="" textlink="">
          <xdr:nvSpPr>
            <xdr:cNvPr id="3088" name="Check Box 16" descr="&#10;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27</xdr:row>
          <xdr:rowOff>0</xdr:rowOff>
        </xdr:from>
        <xdr:to>
          <xdr:col>12</xdr:col>
          <xdr:colOff>504825</xdr:colOff>
          <xdr:row>28</xdr:row>
          <xdr:rowOff>0</xdr:rowOff>
        </xdr:to>
        <xdr:sp macro="" textlink="">
          <xdr:nvSpPr>
            <xdr:cNvPr id="3089" name="Check Box 17" descr="&#10;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FAZER PEDIDO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14</xdr:row>
          <xdr:rowOff>76200</xdr:rowOff>
        </xdr:from>
        <xdr:to>
          <xdr:col>3</xdr:col>
          <xdr:colOff>381000</xdr:colOff>
          <xdr:row>15</xdr:row>
          <xdr:rowOff>95250</xdr:rowOff>
        </xdr:to>
        <xdr:sp macro="" textlink="">
          <xdr:nvSpPr>
            <xdr:cNvPr id="3090" name="Check Box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FIZ PEDIDO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1</xdr:rowOff>
    </xdr:from>
    <xdr:to>
      <xdr:col>1</xdr:col>
      <xdr:colOff>666750</xdr:colOff>
      <xdr:row>1</xdr:row>
      <xdr:rowOff>114300</xdr:rowOff>
    </xdr:to>
    <xdr:sp macro="" textlink="">
      <xdr:nvSpPr>
        <xdr:cNvPr id="25" name="Retângulo: Cantos Diagonais Recortados 2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0" y="1"/>
          <a:ext cx="1381125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666750</xdr:colOff>
      <xdr:row>1</xdr:row>
      <xdr:rowOff>114299</xdr:rowOff>
    </xdr:to>
    <xdr:sp macro="" textlink="">
      <xdr:nvSpPr>
        <xdr:cNvPr id="26" name="Retângulo: Cantos Diagonais Recortados 2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1428750" y="0"/>
          <a:ext cx="1381125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COLETA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666750</xdr:colOff>
      <xdr:row>1</xdr:row>
      <xdr:rowOff>114299</xdr:rowOff>
    </xdr:to>
    <xdr:sp macro="" textlink="">
      <xdr:nvSpPr>
        <xdr:cNvPr id="27" name="Retângulo: Cantos Diagonais Recortados 2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857500" y="0"/>
          <a:ext cx="1381125" cy="304799"/>
        </a:xfrm>
        <a:prstGeom prst="snip2DiagRect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glow rad="228600">
            <a:schemeClr val="accent4">
              <a:alpha val="36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CRAFT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8</xdr:col>
      <xdr:colOff>400050</xdr:colOff>
      <xdr:row>1</xdr:row>
      <xdr:rowOff>114299</xdr:rowOff>
    </xdr:to>
    <xdr:sp macro="" textlink="">
      <xdr:nvSpPr>
        <xdr:cNvPr id="28" name="Retângulo: Cantos Diagonais Recortados 2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4286250" y="0"/>
          <a:ext cx="1828800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419100</xdr:colOff>
          <xdr:row>13</xdr:row>
          <xdr:rowOff>0</xdr:rowOff>
        </xdr:from>
        <xdr:to>
          <xdr:col>6</xdr:col>
          <xdr:colOff>542925</xdr:colOff>
          <xdr:row>14</xdr:row>
          <xdr:rowOff>19050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ATIVA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0</xdr:row>
      <xdr:rowOff>1</xdr:rowOff>
    </xdr:from>
    <xdr:to>
      <xdr:col>1</xdr:col>
      <xdr:colOff>666750</xdr:colOff>
      <xdr:row>1</xdr:row>
      <xdr:rowOff>114300</xdr:rowOff>
    </xdr:to>
    <xdr:sp macro="" textlink="">
      <xdr:nvSpPr>
        <xdr:cNvPr id="8" name="Retângulo: Cantos Diagonais Recortados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0" y="1"/>
          <a:ext cx="1381125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INÍCIO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3</xdr:col>
      <xdr:colOff>666750</xdr:colOff>
      <xdr:row>1</xdr:row>
      <xdr:rowOff>114299</xdr:rowOff>
    </xdr:to>
    <xdr:sp macro="" textlink="">
      <xdr:nvSpPr>
        <xdr:cNvPr id="9" name="Retângulo: Cantos Diagonais Recort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428750" y="0"/>
          <a:ext cx="1381125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COLETA</a:t>
          </a:r>
        </a:p>
      </xdr:txBody>
    </xdr:sp>
    <xdr:clientData/>
  </xdr:twoCellAnchor>
  <xdr:twoCellAnchor>
    <xdr:from>
      <xdr:col>4</xdr:col>
      <xdr:colOff>0</xdr:colOff>
      <xdr:row>0</xdr:row>
      <xdr:rowOff>0</xdr:rowOff>
    </xdr:from>
    <xdr:to>
      <xdr:col>5</xdr:col>
      <xdr:colOff>666750</xdr:colOff>
      <xdr:row>1</xdr:row>
      <xdr:rowOff>114299</xdr:rowOff>
    </xdr:to>
    <xdr:sp macro="" textlink="">
      <xdr:nvSpPr>
        <xdr:cNvPr id="10" name="Retângulo: Cantos Diagonais Recort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857500" y="0"/>
          <a:ext cx="1381125" cy="304799"/>
        </a:xfrm>
        <a:prstGeom prst="snip2Diag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CRAFT</a:t>
          </a:r>
        </a:p>
      </xdr:txBody>
    </xdr:sp>
    <xdr:clientData/>
  </xdr:twoCellAnchor>
  <xdr:twoCellAnchor>
    <xdr:from>
      <xdr:col>6</xdr:col>
      <xdr:colOff>0</xdr:colOff>
      <xdr:row>0</xdr:row>
      <xdr:rowOff>0</xdr:rowOff>
    </xdr:from>
    <xdr:to>
      <xdr:col>8</xdr:col>
      <xdr:colOff>400050</xdr:colOff>
      <xdr:row>1</xdr:row>
      <xdr:rowOff>114299</xdr:rowOff>
    </xdr:to>
    <xdr:sp macro="" textlink="">
      <xdr:nvSpPr>
        <xdr:cNvPr id="11" name="Retângulo: Cantos Diagonais Recort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4286250" y="0"/>
          <a:ext cx="1828800" cy="304799"/>
        </a:xfrm>
        <a:prstGeom prst="snip2DiagRect">
          <a:avLst/>
        </a:prstGeom>
        <a:solidFill>
          <a:srgbClr val="800000"/>
        </a:solidFill>
        <a:ln>
          <a:noFill/>
        </a:ln>
        <a:effectLst>
          <a:glow rad="228600">
            <a:srgbClr val="800000">
              <a:alpha val="36000"/>
            </a:srgb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  <xdr:twoCellAnchor editAs="oneCell">
    <xdr:from>
      <xdr:col>16</xdr:col>
      <xdr:colOff>532776</xdr:colOff>
      <xdr:row>7</xdr:row>
      <xdr:rowOff>66675</xdr:rowOff>
    </xdr:from>
    <xdr:to>
      <xdr:col>18</xdr:col>
      <xdr:colOff>328300</xdr:colOff>
      <xdr:row>12</xdr:row>
      <xdr:rowOff>158193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62776" y="1438275"/>
          <a:ext cx="1224274" cy="1072593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>
    <xdr:from>
      <xdr:col>16</xdr:col>
      <xdr:colOff>85725</xdr:colOff>
      <xdr:row>14</xdr:row>
      <xdr:rowOff>74241</xdr:rowOff>
    </xdr:from>
    <xdr:to>
      <xdr:col>19</xdr:col>
      <xdr:colOff>52076</xdr:colOff>
      <xdr:row>16</xdr:row>
      <xdr:rowOff>98988</xdr:rowOff>
    </xdr:to>
    <xdr:sp macro="[0]!lsLigarTelaCheia" textlink="">
      <xdr:nvSpPr>
        <xdr:cNvPr id="13" name="Retângulo: Cantos Diagonais Recortados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1515725" y="2817441"/>
          <a:ext cx="2109476" cy="405747"/>
        </a:xfrm>
        <a:prstGeom prst="snip2DiagRect">
          <a:avLst/>
        </a:prstGeom>
        <a:solidFill>
          <a:srgbClr val="FFC000"/>
        </a:solidFill>
        <a:ln>
          <a:noFill/>
        </a:ln>
        <a:effectLst>
          <a:glow rad="228600">
            <a:schemeClr val="accent4">
              <a:lumMod val="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Tela</a:t>
          </a:r>
          <a:r>
            <a:rPr lang="pt-BR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Cheia</a:t>
          </a:r>
          <a:endParaRPr lang="pt-BR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16</xdr:col>
      <xdr:colOff>85725</xdr:colOff>
      <xdr:row>17</xdr:row>
      <xdr:rowOff>120888</xdr:rowOff>
    </xdr:from>
    <xdr:to>
      <xdr:col>19</xdr:col>
      <xdr:colOff>52076</xdr:colOff>
      <xdr:row>19</xdr:row>
      <xdr:rowOff>104687</xdr:rowOff>
    </xdr:to>
    <xdr:sp macro="[0]!lsDesligarTelaCheia" textlink="">
      <xdr:nvSpPr>
        <xdr:cNvPr id="14" name="Retângulo: Cantos Diagonais Recortados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1515725" y="3435588"/>
          <a:ext cx="2109476" cy="364799"/>
        </a:xfrm>
        <a:prstGeom prst="snip2DiagRect">
          <a:avLst/>
        </a:prstGeom>
        <a:solidFill>
          <a:srgbClr val="FFC000"/>
        </a:solidFill>
        <a:ln>
          <a:noFill/>
        </a:ln>
        <a:effectLst>
          <a:glow rad="228600">
            <a:schemeClr val="accent4">
              <a:lumMod val="75000"/>
              <a:alpha val="40000"/>
            </a:schemeClr>
          </a:glow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Desligar</a:t>
          </a:r>
          <a:r>
            <a:rPr lang="pt-BR" sz="14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Tela Cheia</a:t>
          </a:r>
          <a:endParaRPr lang="pt-BR" sz="14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" Type="http://schemas.openxmlformats.org/officeDocument/2006/relationships/image" Target="../media/image1.jpeg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18CC1-514A-4282-A9EA-623F5F4DAD3E}">
  <sheetPr codeName="Planilha1"/>
  <dimension ref="A1:Z60"/>
  <sheetViews>
    <sheetView showGridLines="0" showRowColHeaders="0" showZeros="0" tabSelected="1" workbookViewId="0">
      <selection activeCell="D20" sqref="D20"/>
    </sheetView>
  </sheetViews>
  <sheetFormatPr defaultColWidth="0" defaultRowHeight="15" zeroHeight="1" x14ac:dyDescent="0.25"/>
  <cols>
    <col min="1" max="24" width="10.7109375" customWidth="1"/>
    <col min="25" max="25" width="6" customWidth="1"/>
    <col min="26" max="26" width="10.7109375" customWidth="1"/>
    <col min="27" max="16384" width="9.140625" hidden="1"/>
  </cols>
  <sheetData>
    <row r="1" spans="1:26" s="1" customFormat="1" x14ac:dyDescent="0.25"/>
    <row r="2" spans="1:26" s="1" customFormat="1" x14ac:dyDescent="0.25"/>
    <row r="3" spans="1:26" s="1" customFormat="1" x14ac:dyDescent="0.25"/>
    <row r="4" spans="1:26" s="1" customFormat="1" x14ac:dyDescent="0.25"/>
    <row r="5" spans="1:26" s="2" customFormat="1" ht="18" customHeight="1" x14ac:dyDescent="0.25"/>
    <row r="6" spans="1:26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x14ac:dyDescent="0.2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2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x14ac:dyDescent="0.2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x14ac:dyDescent="0.2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x14ac:dyDescent="0.2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idden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idden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idden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idden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idden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idden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idden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idden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sheetProtection algorithmName="SHA-512" hashValue="iqEZHgaPcPJL+Mv8t5qVjSfkYu09hYa159rzd4PAXC3qap8xFVy3wuWs+k3xo689i786oznhexX0G4pERZ86Vw==" saltValue="ZQLVLotmIbTqx8j3XACCFg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813DB-38FA-4FDF-B63F-0DE195858F71}">
  <sheetPr codeName="Planilha2"/>
  <dimension ref="A1:Z60"/>
  <sheetViews>
    <sheetView showGridLines="0" showRowColHeaders="0" showZeros="0" workbookViewId="0">
      <selection activeCell="C11" sqref="C11:D12"/>
    </sheetView>
  </sheetViews>
  <sheetFormatPr defaultColWidth="0" defaultRowHeight="15" customHeight="1" zeroHeight="1" x14ac:dyDescent="0.25"/>
  <cols>
    <col min="1" max="24" width="10.7109375" customWidth="1"/>
    <col min="25" max="25" width="6" customWidth="1"/>
    <col min="26" max="26" width="10.7109375" customWidth="1"/>
    <col min="27" max="16384" width="9.140625" hidden="1"/>
  </cols>
  <sheetData>
    <row r="1" spans="1:26" s="9" customFormat="1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>
        <f>H10*J10</f>
        <v>0</v>
      </c>
      <c r="P1" s="5">
        <f>IF(L10=TRUE,O1*(Planilha4!$F$12+Planilha4!$A$4),Planilha4!$A$4*O1)</f>
        <v>0</v>
      </c>
      <c r="Q1" s="5"/>
      <c r="R1" s="5"/>
      <c r="S1" s="5"/>
      <c r="T1" s="5"/>
      <c r="U1" s="5"/>
      <c r="V1" s="5"/>
      <c r="W1" s="5"/>
      <c r="X1" s="5"/>
      <c r="Y1" s="5" t="s">
        <v>15</v>
      </c>
      <c r="Z1" s="5"/>
    </row>
    <row r="2" spans="1:26" s="9" customFormat="1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>
        <f t="shared" ref="O2:O4" si="0">H11*J11</f>
        <v>0</v>
      </c>
      <c r="P2" s="5">
        <f>IF(L11=TRUE,O2*(Planilha4!$F$12+Planilha4!$A$4),Planilha4!$A$4*O2)</f>
        <v>0</v>
      </c>
      <c r="Q2" s="5"/>
      <c r="R2" s="5"/>
      <c r="S2" s="5"/>
      <c r="T2" s="5"/>
      <c r="U2" s="5"/>
      <c r="V2" s="5"/>
      <c r="W2" s="5"/>
      <c r="X2" s="5"/>
      <c r="Y2" s="5" t="s">
        <v>16</v>
      </c>
      <c r="Z2" s="5"/>
    </row>
    <row r="3" spans="1:26" s="9" customFormat="1" x14ac:dyDescent="0.2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>
        <f t="shared" si="0"/>
        <v>0</v>
      </c>
      <c r="P3" s="5">
        <f>IF(L12=TRUE,O3*(Planilha4!$F$12+Planilha4!$A$4),Planilha4!$A$4*O3)</f>
        <v>0</v>
      </c>
      <c r="Q3" s="5"/>
      <c r="R3" s="5"/>
      <c r="S3" s="5"/>
      <c r="T3" s="5"/>
      <c r="U3" s="5"/>
      <c r="V3" s="5"/>
      <c r="W3" s="5"/>
      <c r="X3" s="5"/>
      <c r="Y3" s="5" t="s">
        <v>17</v>
      </c>
      <c r="Z3" s="5"/>
    </row>
    <row r="4" spans="1:26" s="9" customFormat="1" x14ac:dyDescent="0.25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>
        <f t="shared" si="0"/>
        <v>0</v>
      </c>
      <c r="P4" s="5">
        <f>IF(L13=TRUE,O4*(Planilha4!$F$12+Planilha4!$A$4),Planilha4!$A$4*O4)</f>
        <v>0</v>
      </c>
      <c r="Q4" s="5"/>
      <c r="R4" s="5"/>
      <c r="S4" s="5"/>
      <c r="T4" s="5"/>
      <c r="U4" s="5"/>
      <c r="V4" s="5"/>
      <c r="W4" s="5"/>
      <c r="X4" s="5"/>
      <c r="Y4" s="5" t="s">
        <v>18</v>
      </c>
      <c r="Z4" s="5"/>
    </row>
    <row r="5" spans="1:26" s="8" customFormat="1" ht="18" customHeight="1" x14ac:dyDescent="0.25">
      <c r="O5" s="8" t="s">
        <v>32</v>
      </c>
      <c r="P5" s="8" t="s">
        <v>33</v>
      </c>
      <c r="Q5" s="8" t="s">
        <v>34</v>
      </c>
      <c r="R5" s="13">
        <f>SUM(P1:P4,A20)</f>
        <v>0</v>
      </c>
      <c r="Y5" s="8" t="s">
        <v>19</v>
      </c>
    </row>
    <row r="6" spans="1:26" x14ac:dyDescent="0.25"/>
    <row r="7" spans="1:26" ht="15" customHeight="1" x14ac:dyDescent="0.25">
      <c r="A7" s="14" t="s">
        <v>0</v>
      </c>
      <c r="B7" s="15"/>
      <c r="C7" s="15"/>
      <c r="D7" s="16"/>
    </row>
    <row r="8" spans="1:26" ht="15" customHeight="1" x14ac:dyDescent="0.25">
      <c r="A8" s="17"/>
      <c r="B8" s="18"/>
      <c r="C8" s="18"/>
      <c r="D8" s="19"/>
      <c r="F8" s="20" t="s">
        <v>8</v>
      </c>
      <c r="G8" s="20"/>
      <c r="H8" s="20" t="s">
        <v>4</v>
      </c>
      <c r="I8" s="20"/>
      <c r="J8" s="20" t="s">
        <v>12</v>
      </c>
      <c r="K8" s="20"/>
      <c r="L8" s="20" t="s">
        <v>7</v>
      </c>
      <c r="M8" s="20"/>
    </row>
    <row r="9" spans="1:26" x14ac:dyDescent="0.25">
      <c r="A9" s="23" t="s">
        <v>8</v>
      </c>
      <c r="B9" s="23"/>
      <c r="C9" s="21">
        <v>1</v>
      </c>
      <c r="D9" s="21"/>
      <c r="F9" s="20"/>
      <c r="G9" s="20"/>
      <c r="H9" s="20"/>
      <c r="I9" s="20"/>
      <c r="J9" s="20"/>
      <c r="K9" s="20"/>
      <c r="L9" s="20"/>
      <c r="M9" s="20"/>
      <c r="P9" s="14" t="s">
        <v>9</v>
      </c>
      <c r="Q9" s="15"/>
      <c r="R9" s="15"/>
      <c r="S9" s="16"/>
    </row>
    <row r="10" spans="1:26" ht="15.75" x14ac:dyDescent="0.25">
      <c r="A10" s="23"/>
      <c r="B10" s="23"/>
      <c r="C10" s="21"/>
      <c r="D10" s="21"/>
      <c r="F10" s="28" t="str">
        <f>CHOOSE($C$9,$Y$1,$Y$2,$Y$3,$Y$4,$Y$5,$Y$6)</f>
        <v>T3</v>
      </c>
      <c r="G10" s="29"/>
      <c r="H10" s="22"/>
      <c r="I10" s="22"/>
      <c r="J10" s="22"/>
      <c r="K10" s="22"/>
      <c r="L10" s="21" t="b">
        <v>0</v>
      </c>
      <c r="M10" s="21"/>
      <c r="P10" s="17"/>
      <c r="Q10" s="18"/>
      <c r="R10" s="18"/>
      <c r="S10" s="19"/>
    </row>
    <row r="11" spans="1:26" ht="15" customHeight="1" x14ac:dyDescent="0.25">
      <c r="A11" s="23" t="s">
        <v>13</v>
      </c>
      <c r="B11" s="23"/>
      <c r="C11" s="22"/>
      <c r="D11" s="22"/>
      <c r="F11" s="24" t="str">
        <f>_xlfn.CONCAT(CHOOSE($C$9,$Y$1,$Y$2,$Y$3,$Y$4,$Y$5,$Y$6),".1")</f>
        <v>T3.1</v>
      </c>
      <c r="G11" s="25"/>
      <c r="H11" s="22"/>
      <c r="I11" s="22"/>
      <c r="J11" s="22"/>
      <c r="K11" s="22"/>
      <c r="L11" s="21" t="b">
        <v>0</v>
      </c>
      <c r="M11" s="21"/>
      <c r="P11" s="23" t="s">
        <v>10</v>
      </c>
      <c r="Q11" s="23"/>
      <c r="R11" s="32">
        <f>SUM(O1:O4)-R5</f>
        <v>0</v>
      </c>
      <c r="S11" s="32"/>
    </row>
    <row r="12" spans="1:26" ht="15" customHeight="1" x14ac:dyDescent="0.25">
      <c r="A12" s="23"/>
      <c r="B12" s="23"/>
      <c r="C12" s="22"/>
      <c r="D12" s="22"/>
      <c r="F12" s="26" t="str">
        <f>_xlfn.CONCAT(CHOOSE($C$9,$Y$1,$Y$2,$Y$3,$Y$4,$Y$5,$Y$6),".2")</f>
        <v>T3.2</v>
      </c>
      <c r="G12" s="27"/>
      <c r="H12" s="22"/>
      <c r="I12" s="22"/>
      <c r="J12" s="22"/>
      <c r="K12" s="22"/>
      <c r="L12" s="21" t="b">
        <v>0</v>
      </c>
      <c r="M12" s="21"/>
      <c r="P12" s="23" t="s">
        <v>11</v>
      </c>
      <c r="Q12" s="23"/>
      <c r="R12" s="30">
        <f>IFERROR(R11/A20,0)</f>
        <v>0</v>
      </c>
      <c r="S12" s="30"/>
    </row>
    <row r="13" spans="1:26" ht="15.75" x14ac:dyDescent="0.25">
      <c r="A13" s="23" t="s">
        <v>14</v>
      </c>
      <c r="B13" s="23"/>
      <c r="C13" s="22"/>
      <c r="D13" s="22"/>
      <c r="F13" s="33" t="str">
        <f>_xlfn.CONCAT(CHOOSE($C$9,$Y$1,$Y$2,$Y$3,$Y$4,$Y$5,$Y$6),".3")</f>
        <v>T3.3</v>
      </c>
      <c r="G13" s="34"/>
      <c r="H13" s="22"/>
      <c r="I13" s="22"/>
      <c r="J13" s="22"/>
      <c r="K13" s="22"/>
      <c r="L13" s="21" t="b">
        <v>0</v>
      </c>
      <c r="M13" s="21"/>
    </row>
    <row r="14" spans="1:26" x14ac:dyDescent="0.25">
      <c r="A14" s="23"/>
      <c r="B14" s="23"/>
      <c r="C14" s="22"/>
      <c r="D14" s="22"/>
    </row>
    <row r="15" spans="1:26" x14ac:dyDescent="0.25">
      <c r="A15" s="23" t="s">
        <v>30</v>
      </c>
      <c r="B15" s="23"/>
      <c r="C15" s="21" t="b">
        <v>0</v>
      </c>
      <c r="D15" s="21"/>
    </row>
    <row r="16" spans="1:26" ht="15" customHeight="1" x14ac:dyDescent="0.25">
      <c r="A16" s="23"/>
      <c r="B16" s="23"/>
      <c r="C16" s="21"/>
      <c r="D16" s="21"/>
    </row>
    <row r="17" spans="1:4" ht="15" customHeight="1" x14ac:dyDescent="0.25"/>
    <row r="18" spans="1:4" x14ac:dyDescent="0.25">
      <c r="A18" s="14" t="s">
        <v>6</v>
      </c>
      <c r="B18" s="15"/>
      <c r="C18" s="15"/>
      <c r="D18" s="16"/>
    </row>
    <row r="19" spans="1:4" x14ac:dyDescent="0.25">
      <c r="A19" s="17"/>
      <c r="B19" s="18"/>
      <c r="C19" s="18"/>
      <c r="D19" s="19"/>
    </row>
    <row r="20" spans="1:4" x14ac:dyDescent="0.25">
      <c r="A20" s="31">
        <f>IF(C15=TRUE,C11*C13*Planilha4!N12,C11*C13)</f>
        <v>0</v>
      </c>
      <c r="B20" s="31"/>
      <c r="C20" s="31"/>
      <c r="D20" s="31"/>
    </row>
    <row r="21" spans="1:4" x14ac:dyDescent="0.25">
      <c r="A21" s="31"/>
      <c r="B21" s="31"/>
      <c r="C21" s="31"/>
      <c r="D21" s="31"/>
    </row>
    <row r="22" spans="1:4" x14ac:dyDescent="0.25"/>
    <row r="23" spans="1:4" x14ac:dyDescent="0.25"/>
    <row r="24" spans="1:4" x14ac:dyDescent="0.25"/>
    <row r="25" spans="1:4" x14ac:dyDescent="0.25"/>
    <row r="26" spans="1:4" x14ac:dyDescent="0.25"/>
    <row r="27" spans="1:4" x14ac:dyDescent="0.25"/>
    <row r="28" spans="1:4" x14ac:dyDescent="0.25"/>
    <row r="29" spans="1:4" x14ac:dyDescent="0.25"/>
    <row r="30" spans="1:4" x14ac:dyDescent="0.25"/>
    <row r="31" spans="1:4" x14ac:dyDescent="0.25"/>
    <row r="32" spans="1:4" x14ac:dyDescent="0.25"/>
    <row r="33" spans="1:26" x14ac:dyDescent="0.25"/>
    <row r="34" spans="1:26" x14ac:dyDescent="0.25"/>
    <row r="35" spans="1:26" x14ac:dyDescent="0.25"/>
    <row r="36" spans="1:26" x14ac:dyDescent="0.25"/>
    <row r="37" spans="1:26" x14ac:dyDescent="0.25"/>
    <row r="38" spans="1:26" x14ac:dyDescent="0.25"/>
    <row r="39" spans="1:26" x14ac:dyDescent="0.25"/>
    <row r="40" spans="1:26" x14ac:dyDescent="0.25"/>
    <row r="41" spans="1:26" x14ac:dyDescent="0.25"/>
    <row r="42" spans="1:26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idden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idden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idden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idden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idden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idden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idden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idden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sheetProtection algorithmName="SHA-512" hashValue="oGeUUQSFUVBLKA4l8X0ZmHmH+V5E/Nftbf8zK4ZmzdEjSKlLj2fsSN1wa9mcW+/S8jO625JOfaFcM3b5qccGtQ==" saltValue="lONqOMzDsYOK5zZOn7UENw==" spinCount="100000" sheet="1" objects="1" scenarios="1" selectLockedCells="1"/>
  <mergeCells count="36">
    <mergeCell ref="P12:Q12"/>
    <mergeCell ref="R12:S12"/>
    <mergeCell ref="P9:S10"/>
    <mergeCell ref="A20:D21"/>
    <mergeCell ref="P11:Q11"/>
    <mergeCell ref="R11:S11"/>
    <mergeCell ref="A18:D19"/>
    <mergeCell ref="A15:B16"/>
    <mergeCell ref="C15:D16"/>
    <mergeCell ref="J12:K12"/>
    <mergeCell ref="L12:M12"/>
    <mergeCell ref="A13:B14"/>
    <mergeCell ref="C13:D14"/>
    <mergeCell ref="F13:G13"/>
    <mergeCell ref="H13:I13"/>
    <mergeCell ref="J13:K13"/>
    <mergeCell ref="L13:M13"/>
    <mergeCell ref="J10:K10"/>
    <mergeCell ref="L10:M10"/>
    <mergeCell ref="A11:B12"/>
    <mergeCell ref="C11:D12"/>
    <mergeCell ref="F11:G11"/>
    <mergeCell ref="H11:I11"/>
    <mergeCell ref="J11:K11"/>
    <mergeCell ref="L11:M11"/>
    <mergeCell ref="F12:G12"/>
    <mergeCell ref="H12:I12"/>
    <mergeCell ref="A9:B10"/>
    <mergeCell ref="C9:D10"/>
    <mergeCell ref="F10:G10"/>
    <mergeCell ref="H10:I10"/>
    <mergeCell ref="A7:D8"/>
    <mergeCell ref="F8:G9"/>
    <mergeCell ref="H8:I9"/>
    <mergeCell ref="J8:K9"/>
    <mergeCell ref="L8:M9"/>
  </mergeCells>
  <conditionalFormatting sqref="A7">
    <cfRule type="expression" dxfId="33" priority="11">
      <formula>$C$9=6</formula>
    </cfRule>
    <cfRule type="expression" dxfId="32" priority="12">
      <formula>$C$9=5</formula>
    </cfRule>
    <cfRule type="expression" dxfId="31" priority="13">
      <formula>$C$9=4</formula>
    </cfRule>
    <cfRule type="expression" dxfId="30" priority="14">
      <formula>$C$9=3</formula>
    </cfRule>
    <cfRule type="expression" dxfId="29" priority="15">
      <formula>$C$9=2</formula>
    </cfRule>
    <cfRule type="expression" dxfId="28" priority="16">
      <formula>$C$9=1</formula>
    </cfRule>
  </conditionalFormatting>
  <conditionalFormatting sqref="P9 L8 J8 H8 F8 A18">
    <cfRule type="expression" dxfId="27" priority="5">
      <formula>$C$9=6</formula>
    </cfRule>
    <cfRule type="expression" dxfId="26" priority="6">
      <formula>$C$9=5</formula>
    </cfRule>
    <cfRule type="expression" dxfId="25" priority="7">
      <formula>$C$9=4</formula>
    </cfRule>
    <cfRule type="expression" dxfId="24" priority="8">
      <formula>$C$9=3</formula>
    </cfRule>
    <cfRule type="expression" dxfId="23" priority="9">
      <formula>$C$9=2</formula>
    </cfRule>
    <cfRule type="expression" dxfId="22" priority="10">
      <formula>$C$9=1</formula>
    </cfRule>
  </conditionalFormatting>
  <conditionalFormatting sqref="R11:S12">
    <cfRule type="cellIs" dxfId="21" priority="3" operator="greaterThan">
      <formula>0</formula>
    </cfRule>
    <cfRule type="cellIs" dxfId="20" priority="4" operator="lessThan">
      <formula>0</formula>
    </cfRule>
  </conditionalFormatting>
  <conditionalFormatting sqref="H11:I11">
    <cfRule type="expression" dxfId="19" priority="2">
      <formula>$C$9=1</formula>
    </cfRule>
  </conditionalFormatting>
  <conditionalFormatting sqref="H12:K13 J11:K11">
    <cfRule type="expression" dxfId="18" priority="1">
      <formula>$C$9=1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Drop Down 1">
              <controlPr defaultSize="0" autoLine="0" autoPict="0">
                <anchor moveWithCells="1">
                  <from>
                    <xdr:col>2</xdr:col>
                    <xdr:colOff>95250</xdr:colOff>
                    <xdr:row>8</xdr:row>
                    <xdr:rowOff>123825</xdr:rowOff>
                  </from>
                  <to>
                    <xdr:col>3</xdr:col>
                    <xdr:colOff>609600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Check Box 2">
              <controlPr defaultSize="0" autoFill="0" autoLine="0" autoPict="0">
                <anchor moveWithCells="1">
                  <from>
                    <xdr:col>11</xdr:col>
                    <xdr:colOff>161925</xdr:colOff>
                    <xdr:row>9</xdr:row>
                    <xdr:rowOff>0</xdr:rowOff>
                  </from>
                  <to>
                    <xdr:col>12</xdr:col>
                    <xdr:colOff>504825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Check Box 3">
              <controlPr defaultSize="0" autoFill="0" autoLine="0" autoPict="0">
                <anchor moveWithCells="1">
                  <from>
                    <xdr:col>11</xdr:col>
                    <xdr:colOff>161925</xdr:colOff>
                    <xdr:row>10</xdr:row>
                    <xdr:rowOff>0</xdr:rowOff>
                  </from>
                  <to>
                    <xdr:col>12</xdr:col>
                    <xdr:colOff>504825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8" name="Check Box 4">
              <controlPr defaultSize="0" autoFill="0" autoLine="0" autoPict="0">
                <anchor moveWithCells="1">
                  <from>
                    <xdr:col>11</xdr:col>
                    <xdr:colOff>161925</xdr:colOff>
                    <xdr:row>11</xdr:row>
                    <xdr:rowOff>0</xdr:rowOff>
                  </from>
                  <to>
                    <xdr:col>12</xdr:col>
                    <xdr:colOff>504825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9" name="Check Box 5">
              <controlPr defaultSize="0" autoFill="0" autoLine="0" autoPict="0">
                <anchor moveWithCells="1">
                  <from>
                    <xdr:col>11</xdr:col>
                    <xdr:colOff>161925</xdr:colOff>
                    <xdr:row>12</xdr:row>
                    <xdr:rowOff>0</xdr:rowOff>
                  </from>
                  <to>
                    <xdr:col>12</xdr:col>
                    <xdr:colOff>504825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0" name="Check Box 18">
              <controlPr defaultSize="0" autoFill="0" autoLine="0" autoPict="0">
                <anchor moveWithCells="1">
                  <from>
                    <xdr:col>2</xdr:col>
                    <xdr:colOff>247650</xdr:colOff>
                    <xdr:row>14</xdr:row>
                    <xdr:rowOff>76200</xdr:rowOff>
                  </from>
                  <to>
                    <xdr:col>3</xdr:col>
                    <xdr:colOff>381000</xdr:colOff>
                    <xdr:row>15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2D0E4-967C-46EA-BE27-9C74D85074E3}">
  <sheetPr codeName="Planilha3"/>
  <dimension ref="A1:AA60"/>
  <sheetViews>
    <sheetView showGridLines="0" showRowColHeaders="0" workbookViewId="0">
      <selection activeCell="C11" sqref="C11:D12"/>
    </sheetView>
  </sheetViews>
  <sheetFormatPr defaultColWidth="0" defaultRowHeight="15" customHeight="1" zeroHeight="1" x14ac:dyDescent="0.25"/>
  <cols>
    <col min="1" max="22" width="10.7109375" customWidth="1"/>
    <col min="23" max="23" width="21.7109375" customWidth="1"/>
    <col min="24" max="24" width="10.7109375" customWidth="1"/>
    <col min="25" max="25" width="6" customWidth="1"/>
    <col min="26" max="26" width="10.7109375" hidden="1"/>
    <col min="28" max="16384" width="9.140625" hidden="1"/>
  </cols>
  <sheetData>
    <row r="1" spans="1:27" s="9" customFormat="1" x14ac:dyDescent="0.25">
      <c r="X1" s="5"/>
      <c r="Y1" s="5" t="s">
        <v>15</v>
      </c>
    </row>
    <row r="2" spans="1:27" s="9" customFormat="1" x14ac:dyDescent="0.25">
      <c r="X2" s="5"/>
      <c r="Y2" s="5" t="s">
        <v>16</v>
      </c>
    </row>
    <row r="3" spans="1:27" s="9" customFormat="1" x14ac:dyDescent="0.25">
      <c r="X3" s="5"/>
      <c r="Y3" s="5" t="s">
        <v>17</v>
      </c>
    </row>
    <row r="4" spans="1:27" s="9" customFormat="1" x14ac:dyDescent="0.25">
      <c r="X4" s="5"/>
      <c r="Y4" s="5" t="s">
        <v>18</v>
      </c>
    </row>
    <row r="5" spans="1:27" s="10" customFormat="1" ht="18" customHeight="1" x14ac:dyDescent="0.25">
      <c r="X5" s="8"/>
      <c r="Y5" s="8" t="s">
        <v>19</v>
      </c>
      <c r="Z5" s="8"/>
    </row>
    <row r="6" spans="1:27" x14ac:dyDescent="0.25"/>
    <row r="7" spans="1:27" ht="15" customHeight="1" x14ac:dyDescent="0.25">
      <c r="A7" s="14" t="s">
        <v>31</v>
      </c>
      <c r="B7" s="15"/>
      <c r="C7" s="15"/>
      <c r="D7" s="16"/>
      <c r="F7" s="20" t="s">
        <v>8</v>
      </c>
      <c r="G7" s="20"/>
      <c r="H7" s="20" t="s">
        <v>4</v>
      </c>
      <c r="I7" s="20"/>
      <c r="J7" s="20" t="s">
        <v>12</v>
      </c>
      <c r="K7" s="20"/>
      <c r="L7" s="20" t="s">
        <v>7</v>
      </c>
      <c r="M7" s="20"/>
      <c r="N7" s="7"/>
    </row>
    <row r="8" spans="1:27" ht="15" customHeight="1" x14ac:dyDescent="0.25">
      <c r="A8" s="17"/>
      <c r="B8" s="18"/>
      <c r="C8" s="18"/>
      <c r="D8" s="19"/>
      <c r="F8" s="20"/>
      <c r="G8" s="20"/>
      <c r="H8" s="20"/>
      <c r="I8" s="20"/>
      <c r="J8" s="20"/>
      <c r="K8" s="20"/>
      <c r="L8" s="20"/>
      <c r="M8" s="20"/>
      <c r="N8" s="7"/>
    </row>
    <row r="9" spans="1:27" ht="15.75" x14ac:dyDescent="0.25">
      <c r="A9" s="23" t="s">
        <v>8</v>
      </c>
      <c r="B9" s="23"/>
      <c r="C9" s="21">
        <v>2</v>
      </c>
      <c r="D9" s="21"/>
      <c r="F9" s="23" t="s">
        <v>1</v>
      </c>
      <c r="G9" s="23"/>
      <c r="H9" s="23"/>
      <c r="I9" s="23"/>
      <c r="J9" s="23"/>
      <c r="K9" s="23"/>
      <c r="L9" s="23"/>
      <c r="M9" s="23"/>
      <c r="N9" s="7"/>
      <c r="P9" s="14" t="s">
        <v>9</v>
      </c>
      <c r="Q9" s="15"/>
      <c r="R9" s="15"/>
      <c r="S9" s="16"/>
      <c r="Z9" s="7" t="s">
        <v>32</v>
      </c>
      <c r="AA9" s="7" t="s">
        <v>33</v>
      </c>
    </row>
    <row r="10" spans="1:27" ht="15.75" x14ac:dyDescent="0.25">
      <c r="A10" s="23"/>
      <c r="B10" s="23"/>
      <c r="C10" s="21"/>
      <c r="D10" s="21"/>
      <c r="F10" s="28" t="str">
        <f>CHOOSE($C$9,$Y$1,$Y$2,$Y$3,$Y$4,$Y$5,$Y$6)</f>
        <v>T4</v>
      </c>
      <c r="G10" s="29"/>
      <c r="H10" s="22"/>
      <c r="I10" s="22"/>
      <c r="J10" s="22"/>
      <c r="K10" s="22"/>
      <c r="L10" s="21" t="b">
        <v>0</v>
      </c>
      <c r="M10" s="21"/>
      <c r="P10" s="17"/>
      <c r="Q10" s="18"/>
      <c r="R10" s="18"/>
      <c r="S10" s="19"/>
      <c r="Z10" s="7">
        <f>H10*J10</f>
        <v>0</v>
      </c>
      <c r="AA10" s="11">
        <f>IF(L10=TRUE,Z10*(Planilha4!$F$12+Planilha4!$A$4),Planilha4!$A$4*Z10)</f>
        <v>0</v>
      </c>
    </row>
    <row r="11" spans="1:27" ht="15" customHeight="1" x14ac:dyDescent="0.25">
      <c r="A11" s="23" t="s">
        <v>13</v>
      </c>
      <c r="B11" s="23"/>
      <c r="C11" s="22"/>
      <c r="D11" s="22"/>
      <c r="F11" s="24" t="str">
        <f>_xlfn.CONCAT(CHOOSE($C$9,$Y$1,$Y$2,$Y$3,$Y$4,$Y$5,$Y$6),".1")</f>
        <v>T4.1</v>
      </c>
      <c r="G11" s="25"/>
      <c r="H11" s="22"/>
      <c r="I11" s="22"/>
      <c r="J11" s="22"/>
      <c r="K11" s="22"/>
      <c r="L11" s="21" t="b">
        <v>0</v>
      </c>
      <c r="M11" s="21"/>
      <c r="P11" s="23" t="s">
        <v>10</v>
      </c>
      <c r="Q11" s="23"/>
      <c r="R11" s="32">
        <f>SUM(Z10:Z28)-AA29</f>
        <v>0</v>
      </c>
      <c r="S11" s="32"/>
      <c r="Z11" s="7">
        <f t="shared" ref="Z11:Z28" si="0">H11*J11</f>
        <v>0</v>
      </c>
      <c r="AA11" s="11">
        <f>IF(L11=TRUE,Z11*(Planilha4!$F$12+Planilha4!$A$4),Planilha4!$A$4*Z11)</f>
        <v>0</v>
      </c>
    </row>
    <row r="12" spans="1:27" ht="15" customHeight="1" x14ac:dyDescent="0.25">
      <c r="A12" s="23"/>
      <c r="B12" s="23"/>
      <c r="C12" s="22"/>
      <c r="D12" s="22"/>
      <c r="F12" s="26" t="str">
        <f>_xlfn.CONCAT(CHOOSE($C$9,$Y$1,$Y$2,$Y$3,$Y$4,$Y$5,$Y$6),".2")</f>
        <v>T4.2</v>
      </c>
      <c r="G12" s="27"/>
      <c r="H12" s="22"/>
      <c r="I12" s="22"/>
      <c r="J12" s="22"/>
      <c r="K12" s="22"/>
      <c r="L12" s="21" t="b">
        <v>0</v>
      </c>
      <c r="M12" s="21"/>
      <c r="P12" s="23" t="s">
        <v>11</v>
      </c>
      <c r="Q12" s="23"/>
      <c r="R12" s="30">
        <f>IFERROR(R11/A20,0)</f>
        <v>0</v>
      </c>
      <c r="S12" s="30"/>
      <c r="Z12" s="7">
        <f t="shared" si="0"/>
        <v>0</v>
      </c>
      <c r="AA12" s="11">
        <f>IF(L12=TRUE,Z12*(Planilha4!$F$12+Planilha4!$A$4),Planilha4!$A$4*Z12)</f>
        <v>0</v>
      </c>
    </row>
    <row r="13" spans="1:27" ht="15.75" x14ac:dyDescent="0.25">
      <c r="A13" s="23" t="s">
        <v>14</v>
      </c>
      <c r="B13" s="23"/>
      <c r="C13" s="22"/>
      <c r="D13" s="22"/>
      <c r="F13" s="33" t="str">
        <f>_xlfn.CONCAT(CHOOSE($C$9,$Y$1,$Y$2,$Y$3,$Y$4,$Y$5,$Y$6),".3")</f>
        <v>T4.3</v>
      </c>
      <c r="G13" s="34"/>
      <c r="H13" s="22"/>
      <c r="I13" s="22"/>
      <c r="J13" s="22"/>
      <c r="K13" s="22"/>
      <c r="L13" s="21" t="b">
        <v>0</v>
      </c>
      <c r="M13" s="21"/>
      <c r="Z13" s="7">
        <f t="shared" si="0"/>
        <v>0</v>
      </c>
      <c r="AA13" s="11">
        <f>IF(L13=TRUE,Z13*(Planilha4!$F$12+Planilha4!$A$4),Planilha4!$A$4*Z13)</f>
        <v>0</v>
      </c>
    </row>
    <row r="14" spans="1:27" ht="15.75" x14ac:dyDescent="0.25">
      <c r="A14" s="23"/>
      <c r="B14" s="23"/>
      <c r="C14" s="22"/>
      <c r="D14" s="22"/>
      <c r="F14" s="23" t="s">
        <v>2</v>
      </c>
      <c r="G14" s="23"/>
      <c r="H14" s="23"/>
      <c r="I14" s="23"/>
      <c r="J14" s="23"/>
      <c r="K14" s="23"/>
      <c r="L14" s="23"/>
      <c r="M14" s="23"/>
      <c r="Z14" s="7"/>
      <c r="AA14" s="11"/>
    </row>
    <row r="15" spans="1:27" ht="15.75" x14ac:dyDescent="0.25">
      <c r="A15" s="23" t="s">
        <v>30</v>
      </c>
      <c r="B15" s="23"/>
      <c r="C15" s="21" t="b">
        <v>0</v>
      </c>
      <c r="D15" s="21"/>
      <c r="F15" s="28" t="str">
        <f>CHOOSE($C$9,$Y$1,$Y$2,$Y$3,$Y$4,$Y$5,$Y$6)</f>
        <v>T4</v>
      </c>
      <c r="G15" s="29"/>
      <c r="H15" s="22"/>
      <c r="I15" s="22"/>
      <c r="J15" s="22"/>
      <c r="K15" s="22"/>
      <c r="L15" s="21" t="b">
        <v>0</v>
      </c>
      <c r="M15" s="21"/>
      <c r="Z15" s="7">
        <f t="shared" si="0"/>
        <v>0</v>
      </c>
      <c r="AA15" s="11">
        <f>IF(L15=TRUE,Z15*(Planilha4!$F$12+Planilha4!$A$4),Planilha4!$A$4*Z15)</f>
        <v>0</v>
      </c>
    </row>
    <row r="16" spans="1:27" ht="15" customHeight="1" x14ac:dyDescent="0.25">
      <c r="A16" s="23"/>
      <c r="B16" s="23"/>
      <c r="C16" s="21"/>
      <c r="D16" s="21"/>
      <c r="F16" s="24" t="str">
        <f>_xlfn.CONCAT(CHOOSE($C$9,$Y$1,$Y$2,$Y$3,$Y$4,$Y$5,$Y$6),".1")</f>
        <v>T4.1</v>
      </c>
      <c r="G16" s="25"/>
      <c r="H16" s="22"/>
      <c r="I16" s="22"/>
      <c r="J16" s="22"/>
      <c r="K16" s="22"/>
      <c r="L16" s="21" t="b">
        <v>0</v>
      </c>
      <c r="M16" s="21"/>
      <c r="Z16" s="7">
        <f t="shared" si="0"/>
        <v>0</v>
      </c>
      <c r="AA16" s="11">
        <f>IF(L16=TRUE,Z16*(Planilha4!$F$12+Planilha4!$A$4),Planilha4!$A$4*Z16)</f>
        <v>0</v>
      </c>
    </row>
    <row r="17" spans="1:27" ht="15" customHeight="1" x14ac:dyDescent="0.25">
      <c r="F17" s="26" t="str">
        <f>_xlfn.CONCAT(CHOOSE($C$9,$Y$1,$Y$2,$Y$3,$Y$4,$Y$5,$Y$6),".2")</f>
        <v>T4.2</v>
      </c>
      <c r="G17" s="27"/>
      <c r="H17" s="22"/>
      <c r="I17" s="22"/>
      <c r="J17" s="22"/>
      <c r="K17" s="22"/>
      <c r="L17" s="21" t="b">
        <v>0</v>
      </c>
      <c r="M17" s="21"/>
      <c r="Z17" s="7">
        <f t="shared" si="0"/>
        <v>0</v>
      </c>
      <c r="AA17" s="11">
        <f>IF(L17=TRUE,Z17*(Planilha4!$F$12+Planilha4!$A$4),Planilha4!$A$4*Z17)</f>
        <v>0</v>
      </c>
    </row>
    <row r="18" spans="1:27" ht="15.75" x14ac:dyDescent="0.25">
      <c r="A18" s="14" t="s">
        <v>6</v>
      </c>
      <c r="B18" s="15"/>
      <c r="C18" s="15"/>
      <c r="D18" s="16"/>
      <c r="F18" s="33" t="str">
        <f>_xlfn.CONCAT(CHOOSE($C$9,$Y$1,$Y$2,$Y$3,$Y$4,$Y$5,$Y$6),".3")</f>
        <v>T4.3</v>
      </c>
      <c r="G18" s="34"/>
      <c r="H18" s="22"/>
      <c r="I18" s="22"/>
      <c r="J18" s="22"/>
      <c r="K18" s="22"/>
      <c r="L18" s="21" t="b">
        <v>0</v>
      </c>
      <c r="M18" s="21"/>
      <c r="Z18" s="7">
        <f t="shared" si="0"/>
        <v>0</v>
      </c>
      <c r="AA18" s="11">
        <f>IF(L18=TRUE,Z18*(Planilha4!$F$12+Planilha4!$A$4),Planilha4!$A$4*Z18)</f>
        <v>0</v>
      </c>
    </row>
    <row r="19" spans="1:27" ht="15.75" x14ac:dyDescent="0.25">
      <c r="A19" s="17"/>
      <c r="B19" s="18"/>
      <c r="C19" s="18"/>
      <c r="D19" s="19"/>
      <c r="F19" s="23" t="s">
        <v>3</v>
      </c>
      <c r="G19" s="23"/>
      <c r="H19" s="23"/>
      <c r="I19" s="23"/>
      <c r="J19" s="23"/>
      <c r="K19" s="23"/>
      <c r="L19" s="23"/>
      <c r="M19" s="23"/>
      <c r="Z19" s="7"/>
      <c r="AA19" s="11"/>
    </row>
    <row r="20" spans="1:27" ht="15.75" x14ac:dyDescent="0.25">
      <c r="A20" s="31">
        <f>IF(C15=TRUE,C11*C13*Planilha4!N12,C11*C13)</f>
        <v>0</v>
      </c>
      <c r="B20" s="31"/>
      <c r="C20" s="31"/>
      <c r="D20" s="31"/>
      <c r="F20" s="28" t="str">
        <f>CHOOSE($C$9,$Y$1,$Y$2,$Y$3,$Y$4,$Y$5,$Y$6)</f>
        <v>T4</v>
      </c>
      <c r="G20" s="29"/>
      <c r="H20" s="22"/>
      <c r="I20" s="22"/>
      <c r="J20" s="22"/>
      <c r="K20" s="22"/>
      <c r="L20" s="21" t="b">
        <v>0</v>
      </c>
      <c r="M20" s="21"/>
      <c r="Z20" s="7">
        <f t="shared" si="0"/>
        <v>0</v>
      </c>
      <c r="AA20" s="11">
        <f>IF(L20=TRUE,Z20*(Planilha4!$F$12+Planilha4!$A$4),Planilha4!$A$4*Z20)</f>
        <v>0</v>
      </c>
    </row>
    <row r="21" spans="1:27" ht="15.75" x14ac:dyDescent="0.25">
      <c r="A21" s="31"/>
      <c r="B21" s="31"/>
      <c r="C21" s="31"/>
      <c r="D21" s="31"/>
      <c r="F21" s="24" t="str">
        <f>_xlfn.CONCAT(CHOOSE($C$9,$Y$1,$Y$2,$Y$3,$Y$4,$Y$5,$Y$6),".1")</f>
        <v>T4.1</v>
      </c>
      <c r="G21" s="25"/>
      <c r="H21" s="22"/>
      <c r="I21" s="22"/>
      <c r="J21" s="22"/>
      <c r="K21" s="22"/>
      <c r="L21" s="21" t="b">
        <v>0</v>
      </c>
      <c r="M21" s="21"/>
      <c r="Z21" s="7">
        <f t="shared" si="0"/>
        <v>0</v>
      </c>
      <c r="AA21" s="11">
        <f>IF(L21=TRUE,Z21*(Planilha4!$F$12+Planilha4!$A$4),Planilha4!$A$4*Z21)</f>
        <v>0</v>
      </c>
    </row>
    <row r="22" spans="1:27" ht="15.75" x14ac:dyDescent="0.25">
      <c r="F22" s="26" t="str">
        <f>_xlfn.CONCAT(CHOOSE($C$9,$Y$1,$Y$2,$Y$3,$Y$4,$Y$5,$Y$6),".2")</f>
        <v>T4.2</v>
      </c>
      <c r="G22" s="27"/>
      <c r="H22" s="22"/>
      <c r="I22" s="22"/>
      <c r="J22" s="22"/>
      <c r="K22" s="22"/>
      <c r="L22" s="21" t="b">
        <v>0</v>
      </c>
      <c r="M22" s="21"/>
      <c r="Z22" s="7">
        <f t="shared" si="0"/>
        <v>0</v>
      </c>
      <c r="AA22" s="11">
        <f>IF(L22=TRUE,Z22*(Planilha4!$F$12+Planilha4!$A$4),Planilha4!$A$4*Z22)</f>
        <v>0</v>
      </c>
    </row>
    <row r="23" spans="1:27" ht="15.75" x14ac:dyDescent="0.25">
      <c r="F23" s="33" t="str">
        <f>_xlfn.CONCAT(CHOOSE($C$9,$Y$1,$Y$2,$Y$3,$Y$4,$Y$5,$Y$6),".3")</f>
        <v>T4.3</v>
      </c>
      <c r="G23" s="34"/>
      <c r="H23" s="22"/>
      <c r="I23" s="22"/>
      <c r="J23" s="22"/>
      <c r="K23" s="22"/>
      <c r="L23" s="21" t="b">
        <v>0</v>
      </c>
      <c r="M23" s="21"/>
      <c r="Z23" s="7">
        <f t="shared" si="0"/>
        <v>0</v>
      </c>
      <c r="AA23" s="11">
        <f>IF(L23=TRUE,Z23*(Planilha4!$F$12+Planilha4!$A$4),Planilha4!$A$4*Z23)</f>
        <v>0</v>
      </c>
    </row>
    <row r="24" spans="1:27" ht="15.75" x14ac:dyDescent="0.25">
      <c r="F24" s="23" t="s">
        <v>5</v>
      </c>
      <c r="G24" s="23"/>
      <c r="H24" s="23"/>
      <c r="I24" s="23"/>
      <c r="J24" s="23"/>
      <c r="K24" s="23"/>
      <c r="L24" s="23"/>
      <c r="M24" s="23"/>
      <c r="Z24" s="7"/>
      <c r="AA24" s="11"/>
    </row>
    <row r="25" spans="1:27" ht="15.75" x14ac:dyDescent="0.25">
      <c r="F25" s="28" t="str">
        <f>CHOOSE($C$9,$Y$1,$Y$2,$Y$3,$Y$4,$Y$5,$Y$6)</f>
        <v>T4</v>
      </c>
      <c r="G25" s="29"/>
      <c r="H25" s="22"/>
      <c r="I25" s="22"/>
      <c r="J25" s="22"/>
      <c r="K25" s="22"/>
      <c r="L25" s="21" t="b">
        <v>0</v>
      </c>
      <c r="M25" s="21"/>
      <c r="Z25" s="7">
        <f t="shared" si="0"/>
        <v>0</v>
      </c>
      <c r="AA25" s="11">
        <f>IF(L25=TRUE,Z25*(Planilha4!$F$12+Planilha4!$A$4),Planilha4!$A$4*Z25)</f>
        <v>0</v>
      </c>
    </row>
    <row r="26" spans="1:27" ht="15.75" x14ac:dyDescent="0.25">
      <c r="F26" s="24" t="str">
        <f>_xlfn.CONCAT(CHOOSE($C$9,$Y$1,$Y$2,$Y$3,$Y$4,$Y$5,$Y$6),".1")</f>
        <v>T4.1</v>
      </c>
      <c r="G26" s="25"/>
      <c r="H26" s="22"/>
      <c r="I26" s="22"/>
      <c r="J26" s="22"/>
      <c r="K26" s="22"/>
      <c r="L26" s="21" t="b">
        <v>0</v>
      </c>
      <c r="M26" s="21"/>
      <c r="Z26" s="7">
        <f t="shared" si="0"/>
        <v>0</v>
      </c>
      <c r="AA26" s="11">
        <f>IF(L26=TRUE,Z26*(Planilha4!$F$12+Planilha4!$A$4),Planilha4!$A$4*Z26)</f>
        <v>0</v>
      </c>
    </row>
    <row r="27" spans="1:27" ht="15.75" x14ac:dyDescent="0.25">
      <c r="F27" s="26" t="str">
        <f>_xlfn.CONCAT(CHOOSE($C$9,$Y$1,$Y$2,$Y$3,$Y$4,$Y$5,$Y$6),".2")</f>
        <v>T4.2</v>
      </c>
      <c r="G27" s="27"/>
      <c r="H27" s="22"/>
      <c r="I27" s="22"/>
      <c r="J27" s="22"/>
      <c r="K27" s="22"/>
      <c r="L27" s="21" t="b">
        <v>0</v>
      </c>
      <c r="M27" s="21"/>
      <c r="Z27" s="7">
        <f t="shared" si="0"/>
        <v>0</v>
      </c>
      <c r="AA27" s="11">
        <f>IF(L27=TRUE,Z27*(Planilha4!$F$12+Planilha4!$A$4),Planilha4!$A$4*Z27)</f>
        <v>0</v>
      </c>
    </row>
    <row r="28" spans="1:27" ht="15.75" x14ac:dyDescent="0.25">
      <c r="F28" s="33" t="str">
        <f>_xlfn.CONCAT(CHOOSE($C$9,$Y$1,$Y$2,$Y$3,$Y$4,$Y$5,$Y$6),".3")</f>
        <v>T4.3</v>
      </c>
      <c r="G28" s="34"/>
      <c r="H28" s="22"/>
      <c r="I28" s="22"/>
      <c r="J28" s="22"/>
      <c r="K28" s="22"/>
      <c r="L28" s="21" t="b">
        <v>0</v>
      </c>
      <c r="M28" s="21"/>
      <c r="Z28" s="7">
        <f t="shared" si="0"/>
        <v>0</v>
      </c>
      <c r="AA28" s="11">
        <f>IF(L28=TRUE,Z28*(Planilha4!$F$12+Planilha4!$A$4),Planilha4!$A$4*Z28)</f>
        <v>0</v>
      </c>
    </row>
    <row r="29" spans="1:27" x14ac:dyDescent="0.25">
      <c r="Z29" s="7" t="s">
        <v>34</v>
      </c>
      <c r="AA29" s="12">
        <f>SUM(AA10:AA28,A20)</f>
        <v>0</v>
      </c>
    </row>
    <row r="30" spans="1:27" x14ac:dyDescent="0.25">
      <c r="N30" s="7"/>
      <c r="Z30" s="7"/>
    </row>
    <row r="31" spans="1:27" x14ac:dyDescent="0.25"/>
    <row r="32" spans="1:27" x14ac:dyDescent="0.25"/>
    <row r="33" spans="1:26" x14ac:dyDescent="0.25"/>
    <row r="34" spans="1:26" x14ac:dyDescent="0.25"/>
    <row r="35" spans="1:26" x14ac:dyDescent="0.25"/>
    <row r="36" spans="1:26" x14ac:dyDescent="0.25"/>
    <row r="37" spans="1:26" x14ac:dyDescent="0.25"/>
    <row r="38" spans="1:26" x14ac:dyDescent="0.25"/>
    <row r="39" spans="1:26" x14ac:dyDescent="0.25"/>
    <row r="40" spans="1:26" x14ac:dyDescent="0.25"/>
    <row r="41" spans="1:26" x14ac:dyDescent="0.25"/>
    <row r="42" spans="1:26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idden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idden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idden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idden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idden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idden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idden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idden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sheetProtection algorithmName="SHA-512" hashValue="FMPr938kft+LNU2bGe823UYriSuIFR5oldGc/D9POpNC24cR+ztxJJFXcueoBlQ2uFJy68oruM/JO231UzdRgg==" saltValue="g38palb6PqCjfpZq0CY6SQ==" spinCount="100000" sheet="1" objects="1" scenarios="1" selectLockedCells="1"/>
  <mergeCells count="88">
    <mergeCell ref="A20:D21"/>
    <mergeCell ref="J25:K25"/>
    <mergeCell ref="L25:M25"/>
    <mergeCell ref="J26:K26"/>
    <mergeCell ref="L26:M26"/>
    <mergeCell ref="J20:K20"/>
    <mergeCell ref="L20:M20"/>
    <mergeCell ref="J21:K21"/>
    <mergeCell ref="L21:M21"/>
    <mergeCell ref="J22:K22"/>
    <mergeCell ref="H21:I21"/>
    <mergeCell ref="H22:I22"/>
    <mergeCell ref="F20:G20"/>
    <mergeCell ref="F23:G23"/>
    <mergeCell ref="F21:G21"/>
    <mergeCell ref="F22:G22"/>
    <mergeCell ref="P9:S10"/>
    <mergeCell ref="R12:S12"/>
    <mergeCell ref="P12:Q12"/>
    <mergeCell ref="R11:S11"/>
    <mergeCell ref="P11:Q11"/>
    <mergeCell ref="L7:M8"/>
    <mergeCell ref="J15:K15"/>
    <mergeCell ref="L15:M15"/>
    <mergeCell ref="J16:K16"/>
    <mergeCell ref="L16:M16"/>
    <mergeCell ref="J10:K10"/>
    <mergeCell ref="J11:K11"/>
    <mergeCell ref="J12:K12"/>
    <mergeCell ref="J13:K13"/>
    <mergeCell ref="L10:M10"/>
    <mergeCell ref="L11:M11"/>
    <mergeCell ref="L12:M12"/>
    <mergeCell ref="L13:M13"/>
    <mergeCell ref="H28:I28"/>
    <mergeCell ref="F27:G27"/>
    <mergeCell ref="H23:I23"/>
    <mergeCell ref="H25:I25"/>
    <mergeCell ref="H26:I26"/>
    <mergeCell ref="F24:M24"/>
    <mergeCell ref="J23:K23"/>
    <mergeCell ref="L23:M23"/>
    <mergeCell ref="F28:G28"/>
    <mergeCell ref="J28:K28"/>
    <mergeCell ref="L28:M28"/>
    <mergeCell ref="J27:K27"/>
    <mergeCell ref="L27:M27"/>
    <mergeCell ref="F25:G25"/>
    <mergeCell ref="F26:G26"/>
    <mergeCell ref="H27:I27"/>
    <mergeCell ref="H20:I20"/>
    <mergeCell ref="L22:M22"/>
    <mergeCell ref="J17:K17"/>
    <mergeCell ref="L17:M17"/>
    <mergeCell ref="F13:G13"/>
    <mergeCell ref="H13:I13"/>
    <mergeCell ref="F15:G15"/>
    <mergeCell ref="F14:M14"/>
    <mergeCell ref="F16:G16"/>
    <mergeCell ref="F17:G17"/>
    <mergeCell ref="F18:G18"/>
    <mergeCell ref="F19:M19"/>
    <mergeCell ref="J18:K18"/>
    <mergeCell ref="L18:M18"/>
    <mergeCell ref="A18:D19"/>
    <mergeCell ref="H15:I15"/>
    <mergeCell ref="H16:I16"/>
    <mergeCell ref="H17:I17"/>
    <mergeCell ref="H18:I18"/>
    <mergeCell ref="A15:B16"/>
    <mergeCell ref="C15:D16"/>
    <mergeCell ref="F11:G11"/>
    <mergeCell ref="H11:I11"/>
    <mergeCell ref="F9:M9"/>
    <mergeCell ref="F12:G12"/>
    <mergeCell ref="H12:I12"/>
    <mergeCell ref="F7:G8"/>
    <mergeCell ref="H7:I8"/>
    <mergeCell ref="J7:K8"/>
    <mergeCell ref="A7:D8"/>
    <mergeCell ref="A9:B10"/>
    <mergeCell ref="F10:G10"/>
    <mergeCell ref="H10:I10"/>
    <mergeCell ref="A11:B12"/>
    <mergeCell ref="A13:B14"/>
    <mergeCell ref="C9:D10"/>
    <mergeCell ref="C11:D12"/>
    <mergeCell ref="C13:D14"/>
  </mergeCells>
  <conditionalFormatting sqref="A7">
    <cfRule type="expression" dxfId="17" priority="25">
      <formula>$C$9=6</formula>
    </cfRule>
    <cfRule type="expression" dxfId="16" priority="26">
      <formula>$C$9=5</formula>
    </cfRule>
    <cfRule type="expression" dxfId="15" priority="27">
      <formula>$C$9=4</formula>
    </cfRule>
    <cfRule type="expression" dxfId="14" priority="28">
      <formula>$C$9=3</formula>
    </cfRule>
    <cfRule type="expression" dxfId="13" priority="29">
      <formula>$C$9=2</formula>
    </cfRule>
    <cfRule type="expression" dxfId="12" priority="30">
      <formula>$C$9=1</formula>
    </cfRule>
  </conditionalFormatting>
  <conditionalFormatting sqref="P9 L7 J7 H7 F7 A18">
    <cfRule type="expression" dxfId="11" priority="19">
      <formula>$C$9=6</formula>
    </cfRule>
    <cfRule type="expression" dxfId="10" priority="20">
      <formula>$C$9=5</formula>
    </cfRule>
    <cfRule type="expression" dxfId="9" priority="21">
      <formula>$C$9=4</formula>
    </cfRule>
    <cfRule type="expression" dxfId="8" priority="22">
      <formula>$C$9=3</formula>
    </cfRule>
    <cfRule type="expression" dxfId="7" priority="23">
      <formula>$C$9=2</formula>
    </cfRule>
    <cfRule type="expression" dxfId="6" priority="24">
      <formula>$C$9=1</formula>
    </cfRule>
  </conditionalFormatting>
  <conditionalFormatting sqref="R11:S12">
    <cfRule type="cellIs" dxfId="5" priority="17" operator="greaterThan">
      <formula>0</formula>
    </cfRule>
    <cfRule type="cellIs" dxfId="4" priority="18" operator="lessThan">
      <formula>0</formula>
    </cfRule>
  </conditionalFormatting>
  <conditionalFormatting sqref="H11:K13">
    <cfRule type="expression" dxfId="3" priority="4">
      <formula>$C$9=1</formula>
    </cfRule>
  </conditionalFormatting>
  <conditionalFormatting sqref="H16:K18">
    <cfRule type="expression" dxfId="2" priority="3">
      <formula>$C$9=1</formula>
    </cfRule>
  </conditionalFormatting>
  <conditionalFormatting sqref="H21:K23">
    <cfRule type="expression" dxfId="1" priority="2">
      <formula>$C$9=1</formula>
    </cfRule>
  </conditionalFormatting>
  <conditionalFormatting sqref="H26:K28">
    <cfRule type="expression" dxfId="0" priority="1">
      <formula>$C$9=1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Drop Down 1">
              <controlPr defaultSize="0" autoLine="0" autoPict="0">
                <anchor moveWithCells="1">
                  <from>
                    <xdr:col>2</xdr:col>
                    <xdr:colOff>95250</xdr:colOff>
                    <xdr:row>8</xdr:row>
                    <xdr:rowOff>123825</xdr:rowOff>
                  </from>
                  <to>
                    <xdr:col>3</xdr:col>
                    <xdr:colOff>609600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9</xdr:row>
                    <xdr:rowOff>0</xdr:rowOff>
                  </from>
                  <to>
                    <xdr:col>12</xdr:col>
                    <xdr:colOff>504825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10</xdr:row>
                    <xdr:rowOff>0</xdr:rowOff>
                  </from>
                  <to>
                    <xdr:col>12</xdr:col>
                    <xdr:colOff>504825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11</xdr:row>
                    <xdr:rowOff>0</xdr:rowOff>
                  </from>
                  <to>
                    <xdr:col>12</xdr:col>
                    <xdr:colOff>504825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12</xdr:row>
                    <xdr:rowOff>0</xdr:rowOff>
                  </from>
                  <to>
                    <xdr:col>12</xdr:col>
                    <xdr:colOff>504825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14</xdr:row>
                    <xdr:rowOff>0</xdr:rowOff>
                  </from>
                  <to>
                    <xdr:col>12</xdr:col>
                    <xdr:colOff>504825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15</xdr:row>
                    <xdr:rowOff>0</xdr:rowOff>
                  </from>
                  <to>
                    <xdr:col>12</xdr:col>
                    <xdr:colOff>504825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16</xdr:row>
                    <xdr:rowOff>0</xdr:rowOff>
                  </from>
                  <to>
                    <xdr:col>12</xdr:col>
                    <xdr:colOff>504825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17</xdr:row>
                    <xdr:rowOff>0</xdr:rowOff>
                  </from>
                  <to>
                    <xdr:col>12</xdr:col>
                    <xdr:colOff>504825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19</xdr:row>
                    <xdr:rowOff>0</xdr:rowOff>
                  </from>
                  <to>
                    <xdr:col>12</xdr:col>
                    <xdr:colOff>504825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Check Box 11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20</xdr:row>
                    <xdr:rowOff>0</xdr:rowOff>
                  </from>
                  <to>
                    <xdr:col>12</xdr:col>
                    <xdr:colOff>504825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21</xdr:row>
                    <xdr:rowOff>0</xdr:rowOff>
                  </from>
                  <to>
                    <xdr:col>12</xdr:col>
                    <xdr:colOff>504825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Check Box 13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22</xdr:row>
                    <xdr:rowOff>0</xdr:rowOff>
                  </from>
                  <to>
                    <xdr:col>12</xdr:col>
                    <xdr:colOff>504825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Check Box 14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24</xdr:row>
                    <xdr:rowOff>0</xdr:rowOff>
                  </from>
                  <to>
                    <xdr:col>12</xdr:col>
                    <xdr:colOff>504825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Check Box 15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25</xdr:row>
                    <xdr:rowOff>0</xdr:rowOff>
                  </from>
                  <to>
                    <xdr:col>12</xdr:col>
                    <xdr:colOff>504825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Check Box 16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26</xdr:row>
                    <xdr:rowOff>0</xdr:rowOff>
                  </from>
                  <to>
                    <xdr:col>12</xdr:col>
                    <xdr:colOff>504825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Check Box 17">
              <controlPr defaultSize="0" autoFill="0" autoLine="0" autoPict="0" altText="_x000d__x000a_">
                <anchor moveWithCells="1">
                  <from>
                    <xdr:col>11</xdr:col>
                    <xdr:colOff>161925</xdr:colOff>
                    <xdr:row>27</xdr:row>
                    <xdr:rowOff>0</xdr:rowOff>
                  </from>
                  <to>
                    <xdr:col>12</xdr:col>
                    <xdr:colOff>504825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Check Box 18">
              <controlPr defaultSize="0" autoFill="0" autoLine="0" autoPict="0">
                <anchor moveWithCells="1">
                  <from>
                    <xdr:col>2</xdr:col>
                    <xdr:colOff>247650</xdr:colOff>
                    <xdr:row>14</xdr:row>
                    <xdr:rowOff>76200</xdr:rowOff>
                  </from>
                  <to>
                    <xdr:col>3</xdr:col>
                    <xdr:colOff>381000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1941A-3D2D-43AE-950D-75324E7B847A}">
  <sheetPr codeName="Planilha4"/>
  <dimension ref="A1:Z60"/>
  <sheetViews>
    <sheetView showGridLines="0" showRowColHeaders="0" showZeros="0" workbookViewId="0">
      <selection activeCell="F10" sqref="F10:G10"/>
    </sheetView>
  </sheetViews>
  <sheetFormatPr defaultColWidth="0" defaultRowHeight="15" customHeight="1" zeroHeight="1" x14ac:dyDescent="0.25"/>
  <cols>
    <col min="1" max="24" width="10.7109375" customWidth="1"/>
    <col min="25" max="25" width="6" customWidth="1"/>
    <col min="26" max="26" width="10.7109375" customWidth="1"/>
    <col min="27" max="16384" width="9.140625" hidden="1"/>
  </cols>
  <sheetData>
    <row r="1" spans="1:26" s="1" customFormat="1" x14ac:dyDescent="0.25"/>
    <row r="2" spans="1:26" s="1" customFormat="1" x14ac:dyDescent="0.25"/>
    <row r="3" spans="1:26" s="1" customFormat="1" x14ac:dyDescent="0.25"/>
    <row r="4" spans="1:26" s="1" customFormat="1" x14ac:dyDescent="0.25">
      <c r="A4" s="42">
        <f>IF(F14=TRUE,F11,F10)</f>
        <v>0.08</v>
      </c>
      <c r="B4" s="9"/>
      <c r="C4" s="9"/>
      <c r="D4" s="9"/>
      <c r="E4" s="9"/>
      <c r="F4" s="9"/>
      <c r="G4" s="9"/>
      <c r="H4" s="9"/>
      <c r="I4" s="9"/>
      <c r="J4" s="9"/>
      <c r="K4" s="9"/>
      <c r="L4" s="9"/>
    </row>
    <row r="5" spans="1:26" s="2" customFormat="1" ht="18" customHeight="1" x14ac:dyDescent="0.25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1:26" s="3" customFormat="1" x14ac:dyDescent="0.2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26" s="3" customFormat="1" x14ac:dyDescent="0.2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1:26" s="3" customFormat="1" x14ac:dyDescent="0.2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</row>
    <row r="9" spans="1:26" s="3" customFormat="1" x14ac:dyDescent="0.25">
      <c r="A9" s="6"/>
      <c r="B9" s="37" t="s">
        <v>20</v>
      </c>
      <c r="C9" s="37"/>
      <c r="D9" s="37"/>
      <c r="E9" s="37"/>
      <c r="F9" s="37"/>
      <c r="G9" s="37"/>
      <c r="H9" s="6"/>
      <c r="I9" s="6"/>
      <c r="J9" s="37" t="s">
        <v>21</v>
      </c>
      <c r="K9" s="37"/>
      <c r="L9" s="37"/>
      <c r="M9" s="37"/>
      <c r="N9" s="37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s="3" customFormat="1" ht="15.75" x14ac:dyDescent="0.25">
      <c r="A10" s="6"/>
      <c r="B10" s="35" t="s">
        <v>22</v>
      </c>
      <c r="C10" s="35"/>
      <c r="D10" s="35"/>
      <c r="E10" s="35"/>
      <c r="F10" s="36">
        <v>0.08</v>
      </c>
      <c r="G10" s="36"/>
      <c r="H10" s="6"/>
      <c r="I10" s="6"/>
      <c r="J10" s="35" t="s">
        <v>23</v>
      </c>
      <c r="K10" s="35"/>
      <c r="L10" s="35"/>
      <c r="M10" s="35"/>
      <c r="N10" s="4">
        <f>IF(F14=TRUE,1-(1*(F11+F12)),1-(1*(F10+F12)))</f>
        <v>0.89500000000000002</v>
      </c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1:26" s="3" customFormat="1" ht="15.75" x14ac:dyDescent="0.25">
      <c r="A11" s="6"/>
      <c r="B11" s="35" t="s">
        <v>24</v>
      </c>
      <c r="C11" s="35"/>
      <c r="D11" s="35"/>
      <c r="E11" s="35"/>
      <c r="F11" s="36">
        <v>0.04</v>
      </c>
      <c r="G11" s="36"/>
      <c r="H11" s="6"/>
      <c r="I11" s="6"/>
      <c r="J11" s="35" t="s">
        <v>25</v>
      </c>
      <c r="K11" s="35"/>
      <c r="L11" s="35"/>
      <c r="M11" s="35"/>
      <c r="N11" s="4">
        <f>IF(F14=TRUE,1-(F11*1),1-(F10*1))</f>
        <v>0.92</v>
      </c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1:26" s="3" customFormat="1" ht="15.75" x14ac:dyDescent="0.25">
      <c r="A12" s="6"/>
      <c r="B12" s="35" t="s">
        <v>26</v>
      </c>
      <c r="C12" s="35"/>
      <c r="D12" s="35"/>
      <c r="E12" s="35"/>
      <c r="F12" s="40">
        <v>2.5000000000000001E-2</v>
      </c>
      <c r="G12" s="40"/>
      <c r="H12" s="6"/>
      <c r="I12" s="6"/>
      <c r="J12" s="38" t="s">
        <v>27</v>
      </c>
      <c r="K12" s="38"/>
      <c r="L12" s="38"/>
      <c r="M12" s="38"/>
      <c r="N12" s="4">
        <f>F12+1</f>
        <v>1.0249999999999999</v>
      </c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</row>
    <row r="13" spans="1:26" s="3" customFormat="1" ht="15.75" x14ac:dyDescent="0.25">
      <c r="A13" s="6"/>
      <c r="B13" s="35" t="s">
        <v>28</v>
      </c>
      <c r="C13" s="35"/>
      <c r="D13" s="35"/>
      <c r="E13" s="35"/>
      <c r="F13" s="41">
        <v>0.1125</v>
      </c>
      <c r="G13" s="4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1:26" s="3" customFormat="1" x14ac:dyDescent="0.25">
      <c r="A14" s="6"/>
      <c r="B14" s="38" t="s">
        <v>29</v>
      </c>
      <c r="C14" s="38"/>
      <c r="D14" s="38"/>
      <c r="E14" s="38"/>
      <c r="F14" s="39" t="b">
        <v>0</v>
      </c>
      <c r="G14" s="39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1:26" s="3" customForma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1:26" s="3" customFormat="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</row>
    <row r="17" spans="1:26" s="3" customFormat="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</row>
    <row r="18" spans="1:26" s="3" customFormat="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  <row r="19" spans="1:26" s="3" customFormat="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</row>
    <row r="20" spans="1:26" s="3" customFormat="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</row>
    <row r="21" spans="1:26" s="3" customFormat="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</row>
    <row r="22" spans="1:26" s="3" customFormat="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</row>
    <row r="23" spans="1:26" s="3" customFormat="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</row>
    <row r="24" spans="1:26" s="3" customFormat="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</row>
    <row r="25" spans="1:26" s="3" customFormat="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</row>
    <row r="26" spans="1:26" s="3" customFormat="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</row>
    <row r="27" spans="1:26" s="3" customFormat="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</row>
    <row r="28" spans="1:26" s="3" customFormat="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</row>
    <row r="29" spans="1:26" s="3" customFormat="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</row>
    <row r="30" spans="1:26" s="3" customFormat="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</row>
    <row r="31" spans="1:26" s="3" customFormat="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</row>
    <row r="32" spans="1:26" s="3" customFormat="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</row>
    <row r="33" spans="1:26" s="3" customFormat="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</row>
    <row r="34" spans="1:26" s="3" customFormat="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</row>
    <row r="35" spans="1:26" s="3" customFormat="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</row>
    <row r="36" spans="1:26" s="3" customFormat="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</row>
    <row r="37" spans="1:26" s="3" customFormat="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</row>
    <row r="38" spans="1:26" s="3" customFormat="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</row>
    <row r="39" spans="1:26" s="3" customFormat="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</row>
    <row r="40" spans="1:26" s="3" customFormat="1" x14ac:dyDescent="0.2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</row>
    <row r="41" spans="1:26" s="3" customFormat="1" x14ac:dyDescent="0.2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</row>
    <row r="42" spans="1:26" s="3" customFormat="1" x14ac:dyDescent="0.2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</row>
    <row r="43" spans="1:26" ht="15" customHeight="1" x14ac:dyDescent="0.2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</row>
    <row r="44" spans="1:26" ht="15" customHeight="1" x14ac:dyDescent="0.25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</row>
    <row r="45" spans="1:26" ht="15" customHeight="1" x14ac:dyDescent="0.25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</row>
    <row r="46" spans="1:26" ht="15" customHeight="1" x14ac:dyDescent="0.25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</row>
    <row r="47" spans="1:26" ht="15" customHeight="1" x14ac:dyDescent="0.25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</row>
    <row r="48" spans="1:26" ht="15" customHeight="1" x14ac:dyDescent="0.25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</row>
    <row r="49" spans="1:26" ht="15" customHeight="1" x14ac:dyDescent="0.25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</row>
    <row r="50" spans="1:26" ht="15" customHeight="1" x14ac:dyDescent="0.25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</row>
    <row r="51" spans="1:26" ht="15" customHeight="1" x14ac:dyDescent="0.25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</row>
    <row r="52" spans="1:26" ht="15" customHeight="1" x14ac:dyDescent="0.25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</row>
    <row r="53" spans="1:26" ht="15" hidden="1" customHeight="1" x14ac:dyDescent="0.25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</row>
    <row r="54" spans="1:26" ht="15" hidden="1" customHeight="1" x14ac:dyDescent="0.25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</row>
    <row r="55" spans="1:26" ht="15" hidden="1" customHeight="1" x14ac:dyDescent="0.25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</row>
    <row r="56" spans="1:26" ht="15" hidden="1" customHeight="1" x14ac:dyDescent="0.25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</row>
    <row r="57" spans="1:26" ht="15" hidden="1" customHeight="1" x14ac:dyDescent="0.25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</row>
    <row r="58" spans="1:26" ht="15" hidden="1" customHeight="1" x14ac:dyDescent="0.25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</row>
    <row r="59" spans="1:26" ht="15" hidden="1" customHeight="1" x14ac:dyDescent="0.25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</row>
    <row r="60" spans="1:26" ht="15" hidden="1" customHeight="1" x14ac:dyDescent="0.25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</row>
  </sheetData>
  <sheetProtection algorithmName="SHA-512" hashValue="Iksyd+IDfDBRnMmuTb6BOMpbN8XZCfSm8/yI8QZLmrNDkgUDp4bGyK6RMsu0U08TN3JAD1JoNy3UlYvlApMtsQ==" saltValue="akSycoheX0ZE/EW4LGaFXA==" spinCount="100000" sheet="1" objects="1" scenarios="1" selectLockedCells="1"/>
  <mergeCells count="15">
    <mergeCell ref="B14:E14"/>
    <mergeCell ref="F14:G14"/>
    <mergeCell ref="B12:E12"/>
    <mergeCell ref="F12:G12"/>
    <mergeCell ref="J12:M12"/>
    <mergeCell ref="B13:E13"/>
    <mergeCell ref="F13:G13"/>
    <mergeCell ref="B11:E11"/>
    <mergeCell ref="F11:G11"/>
    <mergeCell ref="J11:M11"/>
    <mergeCell ref="B9:G9"/>
    <mergeCell ref="J9:N9"/>
    <mergeCell ref="B10:E10"/>
    <mergeCell ref="F10:G10"/>
    <mergeCell ref="J10:M10"/>
  </mergeCells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5</xdr:col>
                    <xdr:colOff>419100</xdr:colOff>
                    <xdr:row>13</xdr:row>
                    <xdr:rowOff>0</xdr:rowOff>
                  </from>
                  <to>
                    <xdr:col>6</xdr:col>
                    <xdr:colOff>542925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Planilha1</vt:lpstr>
      <vt:lpstr>Planilha2</vt:lpstr>
      <vt:lpstr>Planilha3</vt:lpstr>
      <vt:lpstr>Planilha4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huovyhnkl .ç</dc:creator>
  <cp:lastModifiedBy>PIX</cp:lastModifiedBy>
  <dcterms:created xsi:type="dcterms:W3CDTF">2024-10-22T17:47:03Z</dcterms:created>
  <dcterms:modified xsi:type="dcterms:W3CDTF">2025-01-09T19:14:46Z</dcterms:modified>
</cp:coreProperties>
</file>